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defaultThemeVersion="124226"/>
  <bookViews>
    <workbookView xWindow="360" yWindow="270" windowWidth="14940" windowHeight="9150"/>
  </bookViews>
  <sheets>
    <sheet name="Sheet1" sheetId="2" r:id="rId1"/>
    <sheet name="Page 1" sheetId="1" r:id="rId2"/>
  </sheets>
  <definedNames>
    <definedName name="_xlnm._FilterDatabase" localSheetId="1" hidden="1">'Page 1'!$A$1:$K$74</definedName>
    <definedName name="Slicer_Assigned_to">#N/A</definedName>
    <definedName name="Slicer_Priority">#N/A</definedName>
    <definedName name="Slicer_Status">#N/A</definedName>
    <definedName name="Slicer_Summary">#N/A</definedName>
    <definedName name="Slicer_Task_type">#N/A</definedName>
  </definedNames>
  <calcPr calcId="145621"/>
  <pivotCaches>
    <pivotCache cacheId="0" r:id="rId3"/>
  </pivotCaches>
  <extLst>
    <ext xmlns:x14="http://schemas.microsoft.com/office/spreadsheetml/2009/9/main" uri="{BBE1A952-AA13-448e-AADC-164F8A28A991}">
      <x14:slicerCaches>
        <x14:slicerCache r:id="rId4"/>
        <x14:slicerCache r:id="rId5"/>
        <x14:slicerCache r:id="rId6"/>
        <x14:slicerCache r:id="rId7"/>
        <x14:slicerCache r:id="rId8"/>
      </x14:slicerCaches>
    </ext>
    <ext xmlns:x14="http://schemas.microsoft.com/office/spreadsheetml/2009/9/main" uri="{79F54976-1DA5-4618-B147-4CDE4B953A38}">
      <x14:workbookPr/>
    </ext>
  </extLst>
</workbook>
</file>

<file path=xl/sharedStrings.xml><?xml version="1.0" encoding="utf-8"?>
<sst xmlns="http://schemas.openxmlformats.org/spreadsheetml/2006/main" count="672" uniqueCount="241">
  <si>
    <t>Number</t>
  </si>
  <si>
    <t>Task type</t>
  </si>
  <si>
    <t>Requestor name</t>
  </si>
  <si>
    <t>Priority</t>
  </si>
  <si>
    <t>Status</t>
  </si>
  <si>
    <t>Summary</t>
  </si>
  <si>
    <t>Assignment group</t>
  </si>
  <si>
    <t>Created</t>
  </si>
  <si>
    <t>Assigned to</t>
  </si>
  <si>
    <t>Resolved</t>
  </si>
  <si>
    <t>SLA indicator</t>
  </si>
  <si>
    <t>Non-std Request</t>
  </si>
  <si>
    <t>4 - Low</t>
  </si>
  <si>
    <t>CGI CrpApps Proj/Disc</t>
  </si>
  <si>
    <t/>
  </si>
  <si>
    <t>CGI CrpApps Misc Apps</t>
  </si>
  <si>
    <t>BRADLEY GWYN</t>
  </si>
  <si>
    <t>THEARY PARASKEVAS</t>
  </si>
  <si>
    <t>WENYU CHEN</t>
  </si>
  <si>
    <t>Shruti Tegur</t>
  </si>
  <si>
    <t>Incident</t>
  </si>
  <si>
    <t>3 - Moderate</t>
  </si>
  <si>
    <t>CGI CrpApps Ellipse</t>
  </si>
  <si>
    <t>INC0387854</t>
  </si>
  <si>
    <t>VANESSA DOAN</t>
  </si>
  <si>
    <t>In Progress</t>
  </si>
  <si>
    <t>Issue with ellipse application-------Unpaid leave question</t>
  </si>
  <si>
    <t>ANIRUDDHA NATH</t>
  </si>
  <si>
    <t>Breached</t>
  </si>
  <si>
    <t>REQ0694845</t>
  </si>
  <si>
    <t>TRENT MUNN</t>
  </si>
  <si>
    <t>Awaiting Customer</t>
  </si>
  <si>
    <t xml:space="preserve">Request to update the productive unit information </t>
  </si>
  <si>
    <t>REQ1059204</t>
  </si>
  <si>
    <t>Ellipse - Report Request</t>
  </si>
  <si>
    <t>REQ0999592</t>
  </si>
  <si>
    <t>ARY SATYAWAN</t>
  </si>
  <si>
    <t>Ellipse - Trying to remove Parent Work Order from Project ESSSL12 but I get the error message below</t>
  </si>
  <si>
    <t>REQ1052559</t>
  </si>
  <si>
    <t>RACHEL MCENTEE</t>
  </si>
  <si>
    <t>Add user to automated email group</t>
  </si>
  <si>
    <t>CGI CrpApps iCMS</t>
  </si>
  <si>
    <t>Anushri Bhadrapur</t>
  </si>
  <si>
    <t>REQ1007240</t>
  </si>
  <si>
    <t>GREGORY DA COSTA</t>
  </si>
  <si>
    <t>Request for Steve Perkatis MySafe Dashboard</t>
  </si>
  <si>
    <t>REQ1060946</t>
  </si>
  <si>
    <t>LAUREN NOVAK</t>
  </si>
  <si>
    <t>EEL Testing Outlook 2013</t>
  </si>
  <si>
    <t>REQ1055774</t>
  </si>
  <si>
    <t>HARYANTO KASWANDA</t>
  </si>
  <si>
    <t>CAMS - Issue the additional asset numbers request</t>
  </si>
  <si>
    <t>REQ1024365</t>
  </si>
  <si>
    <t>STEVE PERKATIS</t>
  </si>
  <si>
    <t>Awaiting 3rd Party</t>
  </si>
  <si>
    <t>MySafe IIR selection</t>
  </si>
  <si>
    <t>CGI CrpApps MySafe</t>
  </si>
  <si>
    <t>REQ0839113</t>
  </si>
  <si>
    <t>SHARON TOOHEY</t>
  </si>
  <si>
    <t>Update user photo on intranet</t>
  </si>
  <si>
    <t>REQ1047229</t>
  </si>
  <si>
    <t>PMWeb - +CN &amp; +PP tables not been updated</t>
  </si>
  <si>
    <t>INC0793941</t>
  </si>
  <si>
    <t>BRIAN MORTON</t>
  </si>
  <si>
    <t>MySafe - 403 error</t>
  </si>
  <si>
    <t>Paused</t>
  </si>
  <si>
    <t>REQ1051501</t>
  </si>
  <si>
    <t>REQ00023609 CAMS</t>
  </si>
  <si>
    <t>REQ1041629</t>
  </si>
  <si>
    <t>Interface Issue: PO L34059</t>
  </si>
  <si>
    <t>REQ1070157</t>
  </si>
  <si>
    <t>Chais Kelly</t>
  </si>
  <si>
    <t>REQ00023916 Miscellaneous</t>
  </si>
  <si>
    <t>REQ1059690</t>
  </si>
  <si>
    <t>KAYE LAWLESS</t>
  </si>
  <si>
    <t xml:space="preserve">ICMS - Request for additional access </t>
  </si>
  <si>
    <t>INC0793988</t>
  </si>
  <si>
    <t>GILLIAN RAJAM</t>
  </si>
  <si>
    <t>EEL SPREADSHEET NOT GENERATING IN CAMS</t>
  </si>
  <si>
    <t>INC0787710</t>
  </si>
  <si>
    <t>Rohit Parihar</t>
  </si>
  <si>
    <t>Average (2 samples) disk free on D:\ is now 10%, which is below the warning threshold (10%) out of total size 75.0 GB : hwhm01vp</t>
  </si>
  <si>
    <t>REQ1062104</t>
  </si>
  <si>
    <t>CAMS project number list</t>
  </si>
  <si>
    <t>RODNEY DOWNS</t>
  </si>
  <si>
    <t>REQ1028290</t>
  </si>
  <si>
    <t>DASANTH AVIRINENI</t>
  </si>
  <si>
    <t>NRL and URS have already reached 5 digits length</t>
  </si>
  <si>
    <t>Balamurugan Subramanian</t>
  </si>
  <si>
    <t>REQ1059671</t>
  </si>
  <si>
    <t>CAMS : Access for EEL testing in MS Excel 2013</t>
  </si>
  <si>
    <t>REQ0560867</t>
  </si>
  <si>
    <t>ENDVR CrpApps MySafe - INC1517769 - Update MySafe Report</t>
  </si>
  <si>
    <t>REQ1072743</t>
  </si>
  <si>
    <t>TRACY ORR</t>
  </si>
  <si>
    <t>Re-directing Authorisations</t>
  </si>
  <si>
    <t>Madhu Dasari</t>
  </si>
  <si>
    <t>REQ1072827</t>
  </si>
  <si>
    <t>Ellipse - close off Core Payroll for Period 12</t>
  </si>
  <si>
    <t>REQ1008676</t>
  </si>
  <si>
    <t>Incorrect Ellipse back pay calculations - INC0723376 - Request for investigation</t>
  </si>
  <si>
    <t>REQ1064519</t>
  </si>
  <si>
    <t>Rowland Nelson</t>
  </si>
  <si>
    <t>REQ00023804 EllipseMaintenanceUpdateProd</t>
  </si>
  <si>
    <t>REQ1072718</t>
  </si>
  <si>
    <t>STUART LOMAX</t>
  </si>
  <si>
    <t>Fix Error in EEL - URS15861EEL20160422S1</t>
  </si>
  <si>
    <t>INC0786420</t>
  </si>
  <si>
    <t>MICHAEL WARE</t>
  </si>
  <si>
    <t>Ellipse - "Task PSD cannot be after W/O finish date" error when linking Work Orders</t>
  </si>
  <si>
    <t>REQ1046522</t>
  </si>
  <si>
    <t>JUDITH SIMPSON</t>
  </si>
  <si>
    <t>OMS search for equpiment (via ellipse web service http://fuse-lb.ie.integral.com.au:8181/cxf/EquipmentNamplate) for POLES</t>
  </si>
  <si>
    <t>REQ1056429</t>
  </si>
  <si>
    <t>CHERYL HENDERSON</t>
  </si>
  <si>
    <t xml:space="preserve">Update OP_ID for Pole Asset Data in Ellipse </t>
  </si>
  <si>
    <t>REQ1064121</t>
  </si>
  <si>
    <t>RAY BROWN</t>
  </si>
  <si>
    <t>REQ00023800 EllipseEntitlement</t>
  </si>
  <si>
    <t>INC0729526</t>
  </si>
  <si>
    <t>LEI LEI</t>
  </si>
  <si>
    <t xml:space="preserve">Errors when uploading EEL / ARP2219 </t>
  </si>
  <si>
    <t>INC0783221</t>
  </si>
  <si>
    <t>ESTHER CLOUGH</t>
  </si>
  <si>
    <t>Problems with Ellipse Screen</t>
  </si>
  <si>
    <t>REQ0983777</t>
  </si>
  <si>
    <t>JUSTIN JENSEN</t>
  </si>
  <si>
    <t>Ellipse - Investigate changing the SLA field in Ellipse</t>
  </si>
  <si>
    <t>REQ0939376</t>
  </si>
  <si>
    <t>Benjamin Armbruster</t>
  </si>
  <si>
    <t>Request for help in Ellipse for Project Reallocation</t>
  </si>
  <si>
    <t>INC0770441</t>
  </si>
  <si>
    <t>SEFOROSA MICHAEL</t>
  </si>
  <si>
    <t>Excel - Unable to use EEL</t>
  </si>
  <si>
    <t>REQ1071989</t>
  </si>
  <si>
    <t>ALLEN OKULICZ</t>
  </si>
  <si>
    <t>REQ00023941 EllipseEntitlement</t>
  </si>
  <si>
    <t>REQ1016477</t>
  </si>
  <si>
    <t>PETER RUSSELL</t>
  </si>
  <si>
    <t>Ellipse - EEL spreadsheet - Urban True / False selection box not changing display</t>
  </si>
  <si>
    <t>REQ1070715</t>
  </si>
  <si>
    <t>MSB222 JOB FAILED - mimsfax issues</t>
  </si>
  <si>
    <t>INC0712262</t>
  </si>
  <si>
    <t>GLEN PARRY</t>
  </si>
  <si>
    <t>64-bit - Approval management - Unable to open Ellipse Authorisations</t>
  </si>
  <si>
    <t>INC0734432</t>
  </si>
  <si>
    <t>FRANK HILI</t>
  </si>
  <si>
    <t>Unable to Authorise Ellipse Transactions on 64 Bit PC</t>
  </si>
  <si>
    <t>INC0793674</t>
  </si>
  <si>
    <t>PETER CAVANOUGH</t>
  </si>
  <si>
    <t>EEL - Not generating Tariff codes</t>
  </si>
  <si>
    <t>REQ1071971</t>
  </si>
  <si>
    <t>RAVINDRA KUMAR</t>
  </si>
  <si>
    <t>Ellipse - Help in fixing the profiles for managers approving timesheets and leave</t>
  </si>
  <si>
    <t>REQ0980583</t>
  </si>
  <si>
    <t>Ellipse -  Local Gov data in WMS</t>
  </si>
  <si>
    <t>INC0795676</t>
  </si>
  <si>
    <t>REYNALDO CABOTE</t>
  </si>
  <si>
    <t>Ellipse - C014 Status change conflicts with current GIS status</t>
  </si>
  <si>
    <t>INC0749024</t>
  </si>
  <si>
    <t>GARRY DUFFY</t>
  </si>
  <si>
    <t>Ellipse problem - multiple issuing point</t>
  </si>
  <si>
    <t>Siva Bandla</t>
  </si>
  <si>
    <t>INC0769254</t>
  </si>
  <si>
    <t>TANUJA KUNDAP</t>
  </si>
  <si>
    <t>Ellipse - After Fault work orders</t>
  </si>
  <si>
    <t>REQ1067038</t>
  </si>
  <si>
    <t>Inventory Discrepancies</t>
  </si>
  <si>
    <t>REQ1055411</t>
  </si>
  <si>
    <t>REJI VARUGHESE</t>
  </si>
  <si>
    <t>ELLIPSE - Request for reporting information</t>
  </si>
  <si>
    <t>REQ0560677</t>
  </si>
  <si>
    <t>GLENN DAVIDSON</t>
  </si>
  <si>
    <t>ENDVR CrpApps Proj/Disc - INC1498621 - Ellipse Pole Details/NBN</t>
  </si>
  <si>
    <t>REQ1032517</t>
  </si>
  <si>
    <t>LOC VUONG</t>
  </si>
  <si>
    <t>Ellipse Query - Change in costing for PO</t>
  </si>
  <si>
    <t>REQ1062162</t>
  </si>
  <si>
    <t>Ellipse Non Prod Application Servers</t>
  </si>
  <si>
    <t>INC0789878</t>
  </si>
  <si>
    <t>Ellipse - My long service leave</t>
  </si>
  <si>
    <t>INC0786001</t>
  </si>
  <si>
    <t>MERLENE ADKINS</t>
  </si>
  <si>
    <t>Ellipse - performance issues</t>
  </si>
  <si>
    <t>INC0796329</t>
  </si>
  <si>
    <t>CINDY MOORS</t>
  </si>
  <si>
    <t>Ellipse - Employee not authorised as accounts clerk</t>
  </si>
  <si>
    <t>INC0740769</t>
  </si>
  <si>
    <t>JOHN PRESTON</t>
  </si>
  <si>
    <t>Ellipse Equipment Issue</t>
  </si>
  <si>
    <t>REQ1019718</t>
  </si>
  <si>
    <t>LORNA CARLSE</t>
  </si>
  <si>
    <t>Ellipse - Increased withholding tax</t>
  </si>
  <si>
    <t>REQ1064997</t>
  </si>
  <si>
    <t>JASON TURNER</t>
  </si>
  <si>
    <t>Ellipse - Advice on deletion of MST's</t>
  </si>
  <si>
    <t>INC0789716</t>
  </si>
  <si>
    <t>CHRISTINE JOHNSON</t>
  </si>
  <si>
    <t>Ellipse Connector Script Issue</t>
  </si>
  <si>
    <t>INC0795459</t>
  </si>
  <si>
    <t>KIRRI DAVIES</t>
  </si>
  <si>
    <t>Ellipse - cannot view the associated invoic</t>
  </si>
  <si>
    <t>REQ1036648</t>
  </si>
  <si>
    <t>Unpaid maternity leave still accruing leave in Ellipse (Formerly INC0713821 )</t>
  </si>
  <si>
    <t>REQ1067149</t>
  </si>
  <si>
    <t>MOHAMMED KHAN</t>
  </si>
  <si>
    <t>USER - Access to process work loads in Ellipse (REQ00023839)</t>
  </si>
  <si>
    <t>REQ1063849</t>
  </si>
  <si>
    <t>POLES is missing from WMS</t>
  </si>
  <si>
    <t>INC0710432</t>
  </si>
  <si>
    <t>MEHRAN AZIMI</t>
  </si>
  <si>
    <t>Unable to Open Ellipse Authorisation on 64 Bit Machines</t>
  </si>
  <si>
    <t>REQ1070258</t>
  </si>
  <si>
    <t>RAHUL REDDY</t>
  </si>
  <si>
    <t>USER - Access to Manager Self Service module (REQ00023922)</t>
  </si>
  <si>
    <t>REQ1068794</t>
  </si>
  <si>
    <t>MATTHEW MORGAN</t>
  </si>
  <si>
    <t>GIS / Ellipse State Mis match</t>
  </si>
  <si>
    <t>INC0785967</t>
  </si>
  <si>
    <t>CAMS -  UIL5195 - PEMBROKE ROAD , MINTO - Please issue the additional asset numbers request</t>
  </si>
  <si>
    <t>Vilfred Thankappan</t>
  </si>
  <si>
    <t>REQ1043963</t>
  </si>
  <si>
    <t>PMWeb Upgrade</t>
  </si>
  <si>
    <t>REQ1063371</t>
  </si>
  <si>
    <t>POONAM ROY</t>
  </si>
  <si>
    <t>PL 13832 - 40 days claims to be lapsed report</t>
  </si>
  <si>
    <t>CGI CrpApps Figtree</t>
  </si>
  <si>
    <t>INC0785305</t>
  </si>
  <si>
    <t>CAMS - payment below has been entered against the wrong CAP number</t>
  </si>
  <si>
    <t>REQ0664925</t>
  </si>
  <si>
    <t>Endeavour Unknown</t>
  </si>
  <si>
    <t>ENDVR CrpApps Misc Apps - INC1517724 - WMS: Refresh R&amp;D and Dev Db's</t>
  </si>
  <si>
    <t>REQ1066970</t>
  </si>
  <si>
    <t>NADEEM KHAN</t>
  </si>
  <si>
    <t>Asset Ready for Capitalisation milestone</t>
  </si>
  <si>
    <t>REQ1057678</t>
  </si>
  <si>
    <t>NEIL CRABB</t>
  </si>
  <si>
    <t>Online Payslip Viewer</t>
  </si>
  <si>
    <t>Row Labels</t>
  </si>
  <si>
    <t>Grand Total</t>
  </si>
  <si>
    <t>Count of 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</si>
</sst>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mm\-yyyy\ hh:mm:ss"/>
  </numFmts>
  <fonts count="2" x14ac:knownFonts="1">
    <font>
      <sz val="10"/>
      <name val="Arial"/>
    </font>
    <font>
      <b/>
      <sz val="10"/>
      <name val="Arial"/>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164" fontId="0" fillId="0" borderId="0" xfId="0" applyNumberFormat="1" applyAlignment="1">
      <alignment vertical="top"/>
    </xf>
    <xf numFmtId="0" fontId="0" fillId="0" borderId="0" xfId="0" applyAlignment="1">
      <alignment vertical="top" wrapText="1"/>
    </xf>
    <xf numFmtId="0" fontId="1" fillId="0" borderId="0" xfId="0" applyFont="1"/>
    <xf numFmtId="0" fontId="0" fillId="0" borderId="0" xfId="0" pivotButton="1"/>
    <xf numFmtId="0" fontId="0" fillId="0" borderId="0" xfId="0" applyAlignment="1">
      <alignment horizontal="left"/>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5.xml"/><Relationship Id="rId3" Type="http://schemas.openxmlformats.org/officeDocument/2006/relationships/pivotCacheDefinition" Target="pivotCache/pivotCacheDefinition1.xml"/><Relationship Id="rId7" Type="http://schemas.microsoft.com/office/2007/relationships/slicerCache" Target="slicerCaches/slicerCache4.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3.xml"/><Relationship Id="rId11" Type="http://schemas.openxmlformats.org/officeDocument/2006/relationships/sharedStrings" Target="sharedStrings.xml"/><Relationship Id="rId5" Type="http://schemas.microsoft.com/office/2007/relationships/slicerCache" Target="slicerCaches/slicerCache2.xml"/><Relationship Id="rId10" Type="http://schemas.openxmlformats.org/officeDocument/2006/relationships/styles" Target="styles.xml"/><Relationship Id="rId4" Type="http://schemas.microsoft.com/office/2007/relationships/slicerCache" Target="slicerCaches/slicerCache1.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editAs="oneCell">
    <xdr:from>
      <xdr:col>5</xdr:col>
      <xdr:colOff>28575</xdr:colOff>
      <xdr:row>2</xdr:row>
      <xdr:rowOff>19050</xdr:rowOff>
    </xdr:from>
    <xdr:to>
      <xdr:col>8</xdr:col>
      <xdr:colOff>28575</xdr:colOff>
      <xdr:row>16</xdr:row>
      <xdr:rowOff>133350</xdr:rowOff>
    </xdr:to>
    <mc:AlternateContent xmlns:mc="http://schemas.openxmlformats.org/markup-compatibility/2006" xmlns:a14="http://schemas.microsoft.com/office/drawing/2010/main">
      <mc:Choice Requires="a14">
        <xdr:graphicFrame macro="">
          <xdr:nvGraphicFramePr>
            <xdr:cNvPr id="2" name="Task type"/>
            <xdr:cNvGraphicFramePr/>
          </xdr:nvGraphicFramePr>
          <xdr:xfrm>
            <a:off x="0" y="0"/>
            <a:ext cx="0" cy="0"/>
          </xdr:xfrm>
          <a:graphic>
            <a:graphicData uri="http://schemas.microsoft.com/office/drawing/2010/slicer">
              <sle:slicer xmlns:sle="http://schemas.microsoft.com/office/drawing/2010/slicer" name="Task type"/>
            </a:graphicData>
          </a:graphic>
        </xdr:graphicFrame>
      </mc:Choice>
      <mc:Fallback xmlns="">
        <xdr:sp macro="" textlink="">
          <xdr:nvSpPr>
            <xdr:cNvPr id="0" name=""/>
            <xdr:cNvSpPr>
              <a:spLocks noTextEdit="1"/>
            </xdr:cNvSpPr>
          </xdr:nvSpPr>
          <xdr:spPr>
            <a:xfrm>
              <a:off x="4581525" y="342900"/>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0</xdr:colOff>
      <xdr:row>2</xdr:row>
      <xdr:rowOff>9525</xdr:rowOff>
    </xdr:from>
    <xdr:to>
      <xdr:col>14</xdr:col>
      <xdr:colOff>0</xdr:colOff>
      <xdr:row>16</xdr:row>
      <xdr:rowOff>123825</xdr:rowOff>
    </xdr:to>
    <mc:AlternateContent xmlns:mc="http://schemas.openxmlformats.org/markup-compatibility/2006" xmlns:a14="http://schemas.microsoft.com/office/drawing/2010/main">
      <mc:Choice Requires="a14">
        <xdr:graphicFrame macro="">
          <xdr:nvGraphicFramePr>
            <xdr:cNvPr id="3" name="Priority"/>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8210550" y="33337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0</xdr:colOff>
      <xdr:row>1</xdr:row>
      <xdr:rowOff>152400</xdr:rowOff>
    </xdr:from>
    <xdr:to>
      <xdr:col>11</xdr:col>
      <xdr:colOff>0</xdr:colOff>
      <xdr:row>16</xdr:row>
      <xdr:rowOff>104775</xdr:rowOff>
    </xdr:to>
    <mc:AlternateContent xmlns:mc="http://schemas.openxmlformats.org/markup-compatibility/2006" xmlns:a14="http://schemas.microsoft.com/office/drawing/2010/main">
      <mc:Choice Requires="a14">
        <xdr:graphicFrame macro="">
          <xdr:nvGraphicFramePr>
            <xdr:cNvPr id="4" name="Status"/>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381750" y="31432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38099</xdr:colOff>
      <xdr:row>16</xdr:row>
      <xdr:rowOff>123824</xdr:rowOff>
    </xdr:from>
    <xdr:to>
      <xdr:col>14</xdr:col>
      <xdr:colOff>9524</xdr:colOff>
      <xdr:row>33</xdr:row>
      <xdr:rowOff>47624</xdr:rowOff>
    </xdr:to>
    <mc:AlternateContent xmlns:mc="http://schemas.openxmlformats.org/markup-compatibility/2006" xmlns:a14="http://schemas.microsoft.com/office/drawing/2010/main">
      <mc:Choice Requires="a14">
        <xdr:graphicFrame macro="">
          <xdr:nvGraphicFramePr>
            <xdr:cNvPr id="5" name="Summary"/>
            <xdr:cNvGraphicFramePr/>
          </xdr:nvGraphicFramePr>
          <xdr:xfrm>
            <a:off x="0" y="0"/>
            <a:ext cx="0" cy="0"/>
          </xdr:xfrm>
          <a:graphic>
            <a:graphicData uri="http://schemas.microsoft.com/office/drawing/2010/slicer">
              <sle:slicer xmlns:sle="http://schemas.microsoft.com/office/drawing/2010/slicer" name="Summary"/>
            </a:graphicData>
          </a:graphic>
        </xdr:graphicFrame>
      </mc:Choice>
      <mc:Fallback xmlns="">
        <xdr:sp macro="" textlink="">
          <xdr:nvSpPr>
            <xdr:cNvPr id="0" name=""/>
            <xdr:cNvSpPr>
              <a:spLocks noTextEdit="1"/>
            </xdr:cNvSpPr>
          </xdr:nvSpPr>
          <xdr:spPr>
            <a:xfrm>
              <a:off x="2762249" y="2714624"/>
              <a:ext cx="7286625" cy="267652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28575</xdr:colOff>
      <xdr:row>2</xdr:row>
      <xdr:rowOff>9525</xdr:rowOff>
    </xdr:from>
    <xdr:to>
      <xdr:col>5</xdr:col>
      <xdr:colOff>28575</xdr:colOff>
      <xdr:row>16</xdr:row>
      <xdr:rowOff>123825</xdr:rowOff>
    </xdr:to>
    <mc:AlternateContent xmlns:mc="http://schemas.openxmlformats.org/markup-compatibility/2006" xmlns:a14="http://schemas.microsoft.com/office/drawing/2010/main">
      <mc:Choice Requires="a14">
        <xdr:graphicFrame macro="">
          <xdr:nvGraphicFramePr>
            <xdr:cNvPr id="6" name="Assigned to"/>
            <xdr:cNvGraphicFramePr/>
          </xdr:nvGraphicFramePr>
          <xdr:xfrm>
            <a:off x="0" y="0"/>
            <a:ext cx="0" cy="0"/>
          </xdr:xfrm>
          <a:graphic>
            <a:graphicData uri="http://schemas.microsoft.com/office/drawing/2010/slicer">
              <sle:slicer xmlns:sle="http://schemas.microsoft.com/office/drawing/2010/slicer" name="Assigned to"/>
            </a:graphicData>
          </a:graphic>
        </xdr:graphicFrame>
      </mc:Choice>
      <mc:Fallback xmlns="">
        <xdr:sp macro="" textlink="">
          <xdr:nvSpPr>
            <xdr:cNvPr id="0" name=""/>
            <xdr:cNvSpPr>
              <a:spLocks noTextEdit="1"/>
            </xdr:cNvSpPr>
          </xdr:nvSpPr>
          <xdr:spPr>
            <a:xfrm>
              <a:off x="2752725" y="333375"/>
              <a:ext cx="1828800" cy="238125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User" refreshedDate="42899.285462037034" createdVersion="4" refreshedVersion="4" minRefreshableVersion="3" recordCount="73">
  <cacheSource type="worksheet">
    <worksheetSource ref="A1:K74" sheet="Page 1"/>
  </cacheSource>
  <cacheFields count="11">
    <cacheField name="Number" numFmtId="0">
      <sharedItems count="73">
        <s v="INC0387854"/>
        <s v="REQ0694845"/>
        <s v="REQ1059204"/>
        <s v="REQ0999592"/>
        <s v="REQ1052559"/>
        <s v="REQ1007240"/>
        <s v="REQ1060946"/>
        <s v="REQ1055774"/>
        <s v="REQ1024365"/>
        <s v="REQ0839113"/>
        <s v="REQ1047229"/>
        <s v="INC0793941"/>
        <s v="REQ1051501"/>
        <s v="REQ1041629"/>
        <s v="REQ1070157"/>
        <s v="REQ1059690"/>
        <s v="INC0793988"/>
        <s v="INC0787710"/>
        <s v="REQ1062104"/>
        <s v="REQ1028290"/>
        <s v="REQ1059671"/>
        <s v="REQ0560867"/>
        <s v="REQ1072743"/>
        <s v="REQ1072827"/>
        <s v="REQ1008676"/>
        <s v="REQ1064519"/>
        <s v="REQ1072718"/>
        <s v="INC0786420"/>
        <s v="REQ1046522"/>
        <s v="REQ1056429"/>
        <s v="REQ1064121"/>
        <s v="INC0729526"/>
        <s v="INC0783221"/>
        <s v="REQ0983777"/>
        <s v="REQ0939376"/>
        <s v="INC0770441"/>
        <s v="REQ1071989"/>
        <s v="REQ1016477"/>
        <s v="REQ1070715"/>
        <s v="INC0712262"/>
        <s v="INC0734432"/>
        <s v="INC0793674"/>
        <s v="REQ1071971"/>
        <s v="REQ0980583"/>
        <s v="INC0795676"/>
        <s v="INC0749024"/>
        <s v="INC0769254"/>
        <s v="REQ1067038"/>
        <s v="REQ1055411"/>
        <s v="REQ0560677"/>
        <s v="REQ1032517"/>
        <s v="REQ1062162"/>
        <s v="INC0789878"/>
        <s v="INC0786001"/>
        <s v="INC0796329"/>
        <s v="INC0740769"/>
        <s v="REQ1019718"/>
        <s v="REQ1064997"/>
        <s v="INC0789716"/>
        <s v="INC0795459"/>
        <s v="REQ1036648"/>
        <s v="REQ1067149"/>
        <s v="REQ1063849"/>
        <s v="INC0710432"/>
        <s v="REQ1070258"/>
        <s v="REQ1068794"/>
        <s v="INC0785967"/>
        <s v="REQ1043963"/>
        <s v="REQ1063371"/>
        <s v="INC0785305"/>
        <s v="REQ0664925"/>
        <s v="REQ1066970"/>
        <s v="REQ1057678"/>
      </sharedItems>
    </cacheField>
    <cacheField name="Task type" numFmtId="0">
      <sharedItems count="2">
        <s v="Incident"/>
        <s v="Non-std Request"/>
      </sharedItems>
    </cacheField>
    <cacheField name="Requestor name" numFmtId="0">
      <sharedItems count="62">
        <s v="VANESSA DOAN"/>
        <s v="TRENT MUNN"/>
        <s v="BRADLEY GWYN"/>
        <s v="ARY SATYAWAN"/>
        <s v="RACHEL MCENTEE"/>
        <s v="GREGORY DA COSTA"/>
        <s v="LAUREN NOVAK"/>
        <s v="HARYANTO KASWANDA"/>
        <s v="STEVE PERKATIS"/>
        <s v="SHARON TOOHEY"/>
        <s v="WENYU CHEN"/>
        <s v="BRIAN MORTON"/>
        <s v="Anushri Bhadrapur"/>
        <s v="Chais Kelly"/>
        <s v="KAYE LAWLESS"/>
        <s v="GILLIAN RAJAM"/>
        <s v="Rohit Parihar"/>
        <s v="DASANTH AVIRINENI"/>
        <s v="Balamurugan Subramanian"/>
        <s v="TRACY ORR"/>
        <s v="THEARY PARASKEVAS"/>
        <s v="Shruti Tegur"/>
        <s v="Rowland Nelson"/>
        <s v="STUART LOMAX"/>
        <s v="MICHAEL WARE"/>
        <s v="JUDITH SIMPSON"/>
        <s v="CHERYL HENDERSON"/>
        <s v="RAY BROWN"/>
        <s v="LEI LEI"/>
        <s v="ESTHER CLOUGH"/>
        <s v="JUSTIN JENSEN"/>
        <s v="Benjamin Armbruster"/>
        <s v="SEFOROSA MICHAEL"/>
        <s v="ALLEN OKULICZ"/>
        <s v="PETER RUSSELL"/>
        <s v="Madhu Dasari"/>
        <s v="GLEN PARRY"/>
        <s v="FRANK HILI"/>
        <s v="PETER CAVANOUGH"/>
        <s v="RAVINDRA KUMAR"/>
        <s v="RODNEY DOWNS"/>
        <s v="REYNALDO CABOTE"/>
        <s v="GARRY DUFFY"/>
        <s v="TANUJA KUNDAP"/>
        <s v="REJI VARUGHESE"/>
        <s v="GLENN DAVIDSON"/>
        <s v="LOC VUONG"/>
        <s v="MERLENE ADKINS"/>
        <s v="CINDY MOORS"/>
        <s v="JOHN PRESTON"/>
        <s v="LORNA CARLSE"/>
        <s v="JASON TURNER"/>
        <s v="CHRISTINE JOHNSON"/>
        <s v="KIRRI DAVIES"/>
        <s v="MOHAMMED KHAN"/>
        <s v="MEHRAN AZIMI"/>
        <s v="RAHUL REDDY"/>
        <s v="MATTHEW MORGAN"/>
        <s v="POONAM ROY"/>
        <s v="Endeavour Unknown"/>
        <s v="NADEEM KHAN"/>
        <s v="NEIL CRABB"/>
      </sharedItems>
    </cacheField>
    <cacheField name="Priority" numFmtId="0">
      <sharedItems count="2">
        <s v="4 - Low"/>
        <s v="3 - Moderate"/>
      </sharedItems>
    </cacheField>
    <cacheField name="Status" numFmtId="0">
      <sharedItems count="3">
        <s v="In Progress"/>
        <s v="Awaiting Customer"/>
        <s v="Awaiting 3rd Party"/>
      </sharedItems>
    </cacheField>
    <cacheField name="Summary" numFmtId="0">
      <sharedItems count="73">
        <s v="Issue with ellipse application-------Unpaid leave question"/>
        <s v="Request to update the productive unit information "/>
        <s v="Ellipse - Report Request"/>
        <s v="Ellipse - Trying to remove Parent Work Order from Project ESSSL12 but I get the error message below"/>
        <s v="Add user to automated email group"/>
        <s v="Request for Steve Perkatis MySafe Dashboard"/>
        <s v="EEL Testing Outlook 2013"/>
        <s v="CAMS - Issue the additional asset numbers request"/>
        <s v="MySafe IIR selection"/>
        <s v="Update user photo on intranet"/>
        <s v="PMWeb - +CN &amp; +PP tables not been updated"/>
        <s v="MySafe - 403 error"/>
        <s v="REQ00023609 CAMS"/>
        <s v="Interface Issue: PO L34059"/>
        <s v="REQ00023916 Miscellaneous"/>
        <s v="ICMS - Request for additional access "/>
        <s v="EEL SPREADSHEET NOT GENERATING IN CAMS"/>
        <s v="Average (2 samples) disk free on D:\ is now 10%, which is below the warning threshold (10%) out of total size 75.0 GB : hwhm01vp"/>
        <s v="CAMS project number list"/>
        <s v="NRL and URS have already reached 5 digits length"/>
        <s v="CAMS : Access for EEL testing in MS Excel 2013"/>
        <s v="ENDVR CrpApps MySafe - INC1517769 - Update MySafe Report"/>
        <s v="Re-directing Authorisations"/>
        <s v="Ellipse - close off Core Payroll for Period 12"/>
        <s v="Incorrect Ellipse back pay calculations - INC0723376 - Request for investigation"/>
        <s v="REQ00023804 EllipseMaintenanceUpdateProd"/>
        <s v="Fix Error in EEL - URS15861EEL20160422S1"/>
        <s v="Ellipse - &quot;Task PSD cannot be after W/O finish date&quot; error when linking Work Orders"/>
        <s v="OMS search for equpiment (via ellipse web service http://fuse-lb.ie.integral.com.au:8181/cxf/EquipmentNamplate) for POLES"/>
        <s v="Update OP_ID for Pole Asset Data in Ellipse "/>
        <s v="REQ00023800 EllipseEntitlement"/>
        <s v="Errors when uploading EEL / ARP2219 "/>
        <s v="Problems with Ellipse Screen"/>
        <s v="Ellipse - Investigate changing the SLA field in Ellipse"/>
        <s v="Request for help in Ellipse for Project Reallocation"/>
        <s v="Excel - Unable to use EEL"/>
        <s v="REQ00023941 EllipseEntitlement"/>
        <s v="Ellipse - EEL spreadsheet - Urban True / False selection box not changing display"/>
        <s v="MSB222 JOB FAILED - mimsfax issues"/>
        <s v="64-bit - Approval management - Unable to open Ellipse Authorisations"/>
        <s v="Unable to Authorise Ellipse Transactions on 64 Bit PC"/>
        <s v="EEL - Not generating Tariff codes"/>
        <s v="Ellipse - Help in fixing the profiles for managers approving timesheets and leave"/>
        <s v="Ellipse -  Local Gov data in WMS"/>
        <s v="Ellipse - C014 Status change conflicts with current GIS status"/>
        <s v="Ellipse problem - multiple issuing point"/>
        <s v="Ellipse - After Fault work orders"/>
        <s v="Inventory Discrepancies"/>
        <s v="ELLIPSE - Request for reporting information"/>
        <s v="ENDVR CrpApps Proj/Disc - INC1498621 - Ellipse Pole Details/NBN"/>
        <s v="Ellipse Query - Change in costing for PO"/>
        <s v="Ellipse Non Prod Application Servers"/>
        <s v="Ellipse - My long service leave"/>
        <s v="Ellipse - performance issues"/>
        <s v="Ellipse - Employee not authorised as accounts clerk"/>
        <s v="Ellipse Equipment Issue"/>
        <s v="Ellipse - Increased withholding tax"/>
        <s v="Ellipse - Advice on deletion of MST's"/>
        <s v="Ellipse Connector Script Issue"/>
        <s v="Ellipse - cannot view the associated invoic"/>
        <s v="Unpaid maternity leave still accruing leave in Ellipse (Formerly INC0713821 )"/>
        <s v="USER - Access to process work loads in Ellipse (REQ00023839)"/>
        <s v="POLES is missing from WMS"/>
        <s v="Unable to Open Ellipse Authorisation on 64 Bit Machines"/>
        <s v="USER - Access to Manager Self Service module (REQ00023922)"/>
        <s v="GIS / Ellipse State Mis match"/>
        <s v="CAMS -  UIL5195 - PEMBROKE ROAD , MINTO - Please issue the additional asset numbers request"/>
        <s v="PMWeb Upgrade"/>
        <s v="PL 13832 - 40 days claims to be lapsed report"/>
        <s v="CAMS - payment below has been entered against the wrong CAP number"/>
        <s v="ENDVR CrpApps Misc Apps - INC1517724 - WMS: Refresh R&amp;D and Dev Db's"/>
        <s v="Asset Ready for Capitalisation milestone"/>
        <s v="Online Payslip Viewer"/>
      </sharedItems>
    </cacheField>
    <cacheField name="Assignment group" numFmtId="0">
      <sharedItems count="6">
        <s v="CGI CrpApps Ellipse"/>
        <s v="CGI CrpApps iCMS"/>
        <s v="CGI CrpApps Proj/Disc"/>
        <s v="CGI CrpApps Misc Apps"/>
        <s v="CGI CrpApps MySafe"/>
        <s v="CGI CrpApps Figtree"/>
      </sharedItems>
    </cacheField>
    <cacheField name="Created" numFmtId="164">
      <sharedItems containsSemiMixedTypes="0" containsNonDate="0" containsDate="1" containsString="0" minDate="2015-09-22T17:17:07" maxDate="2017-06-13T08:52:57"/>
    </cacheField>
    <cacheField name="Assigned to" numFmtId="0">
      <sharedItems count="7">
        <s v="ANIRUDDHA NATH"/>
        <s v="Anushri Bhadrapur"/>
        <s v="Balamurugan Subramanian"/>
        <s v="Madhu Dasari"/>
        <s v="Shruti Tegur"/>
        <s v="Siva Bandla"/>
        <s v="Vilfred Thankappan"/>
      </sharedItems>
    </cacheField>
    <cacheField name="Resolved" numFmtId="164">
      <sharedItems containsNonDate="0" containsDate="1" containsString="0" containsBlank="1" minDate="2017-03-24T16:31:50" maxDate="2017-06-07T15:57:35"/>
    </cacheField>
    <cacheField name="SLA indicator"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3">
  <r>
    <x v="0"/>
    <x v="0"/>
    <x v="0"/>
    <x v="0"/>
    <x v="0"/>
    <x v="0"/>
    <x v="0"/>
    <d v="2015-12-16T16:07:07"/>
    <x v="0"/>
    <m/>
    <s v="Breached"/>
  </r>
  <r>
    <x v="1"/>
    <x v="1"/>
    <x v="1"/>
    <x v="0"/>
    <x v="1"/>
    <x v="1"/>
    <x v="0"/>
    <d v="2016-02-23T15:32:14"/>
    <x v="0"/>
    <m/>
    <s v=""/>
  </r>
  <r>
    <x v="2"/>
    <x v="1"/>
    <x v="2"/>
    <x v="0"/>
    <x v="0"/>
    <x v="2"/>
    <x v="0"/>
    <d v="2017-05-24T12:33:47"/>
    <x v="0"/>
    <m/>
    <s v=""/>
  </r>
  <r>
    <x v="3"/>
    <x v="1"/>
    <x v="3"/>
    <x v="0"/>
    <x v="0"/>
    <x v="3"/>
    <x v="0"/>
    <d v="2017-02-28T16:35:40"/>
    <x v="0"/>
    <m/>
    <s v=""/>
  </r>
  <r>
    <x v="4"/>
    <x v="1"/>
    <x v="4"/>
    <x v="0"/>
    <x v="1"/>
    <x v="4"/>
    <x v="1"/>
    <d v="2017-05-15T17:07:49"/>
    <x v="1"/>
    <m/>
    <s v=""/>
  </r>
  <r>
    <x v="5"/>
    <x v="1"/>
    <x v="5"/>
    <x v="0"/>
    <x v="1"/>
    <x v="5"/>
    <x v="2"/>
    <d v="2017-03-10T07:44:17"/>
    <x v="1"/>
    <m/>
    <s v=""/>
  </r>
  <r>
    <x v="6"/>
    <x v="1"/>
    <x v="6"/>
    <x v="0"/>
    <x v="0"/>
    <x v="6"/>
    <x v="3"/>
    <d v="2017-05-25T17:00:46"/>
    <x v="1"/>
    <m/>
    <s v=""/>
  </r>
  <r>
    <x v="7"/>
    <x v="1"/>
    <x v="7"/>
    <x v="0"/>
    <x v="0"/>
    <x v="7"/>
    <x v="3"/>
    <d v="2017-05-19T09:14:21"/>
    <x v="1"/>
    <m/>
    <s v=""/>
  </r>
  <r>
    <x v="8"/>
    <x v="1"/>
    <x v="8"/>
    <x v="0"/>
    <x v="2"/>
    <x v="8"/>
    <x v="4"/>
    <d v="2017-04-03T15:14:52"/>
    <x v="1"/>
    <m/>
    <s v=""/>
  </r>
  <r>
    <x v="9"/>
    <x v="1"/>
    <x v="9"/>
    <x v="0"/>
    <x v="0"/>
    <x v="9"/>
    <x v="3"/>
    <d v="2016-08-02T16:56:51"/>
    <x v="1"/>
    <m/>
    <s v=""/>
  </r>
  <r>
    <x v="10"/>
    <x v="1"/>
    <x v="10"/>
    <x v="0"/>
    <x v="0"/>
    <x v="10"/>
    <x v="3"/>
    <d v="2017-05-08T14:10:30"/>
    <x v="1"/>
    <m/>
    <s v=""/>
  </r>
  <r>
    <x v="11"/>
    <x v="0"/>
    <x v="11"/>
    <x v="0"/>
    <x v="1"/>
    <x v="11"/>
    <x v="4"/>
    <d v="2017-06-07T07:58:42"/>
    <x v="1"/>
    <m/>
    <s v="Paused"/>
  </r>
  <r>
    <x v="12"/>
    <x v="1"/>
    <x v="12"/>
    <x v="0"/>
    <x v="0"/>
    <x v="12"/>
    <x v="1"/>
    <d v="2017-05-12T18:23:16"/>
    <x v="1"/>
    <m/>
    <s v=""/>
  </r>
  <r>
    <x v="13"/>
    <x v="1"/>
    <x v="10"/>
    <x v="0"/>
    <x v="0"/>
    <x v="13"/>
    <x v="3"/>
    <d v="2017-05-01T13:57:27"/>
    <x v="1"/>
    <m/>
    <s v=""/>
  </r>
  <r>
    <x v="14"/>
    <x v="1"/>
    <x v="13"/>
    <x v="0"/>
    <x v="0"/>
    <x v="14"/>
    <x v="4"/>
    <d v="2017-06-07T14:40:34"/>
    <x v="1"/>
    <m/>
    <s v=""/>
  </r>
  <r>
    <x v="15"/>
    <x v="1"/>
    <x v="14"/>
    <x v="0"/>
    <x v="2"/>
    <x v="15"/>
    <x v="1"/>
    <d v="2017-05-24T16:33:23"/>
    <x v="1"/>
    <m/>
    <s v=""/>
  </r>
  <r>
    <x v="16"/>
    <x v="0"/>
    <x v="15"/>
    <x v="0"/>
    <x v="1"/>
    <x v="16"/>
    <x v="3"/>
    <d v="2017-06-07T09:03:49"/>
    <x v="1"/>
    <m/>
    <s v="Paused"/>
  </r>
  <r>
    <x v="17"/>
    <x v="0"/>
    <x v="16"/>
    <x v="0"/>
    <x v="1"/>
    <x v="17"/>
    <x v="4"/>
    <d v="2017-05-29T07:15:35"/>
    <x v="1"/>
    <m/>
    <s v="Paused"/>
  </r>
  <r>
    <x v="18"/>
    <x v="1"/>
    <x v="2"/>
    <x v="0"/>
    <x v="0"/>
    <x v="18"/>
    <x v="3"/>
    <d v="2017-05-26T17:12:02"/>
    <x v="1"/>
    <m/>
    <s v=""/>
  </r>
  <r>
    <x v="19"/>
    <x v="1"/>
    <x v="17"/>
    <x v="0"/>
    <x v="1"/>
    <x v="19"/>
    <x v="3"/>
    <d v="2017-04-07T14:17:23"/>
    <x v="2"/>
    <m/>
    <s v=""/>
  </r>
  <r>
    <x v="20"/>
    <x v="1"/>
    <x v="18"/>
    <x v="0"/>
    <x v="1"/>
    <x v="20"/>
    <x v="3"/>
    <d v="2017-05-24T16:18:34"/>
    <x v="2"/>
    <m/>
    <s v=""/>
  </r>
  <r>
    <x v="21"/>
    <x v="1"/>
    <x v="8"/>
    <x v="0"/>
    <x v="1"/>
    <x v="21"/>
    <x v="2"/>
    <d v="2015-09-22T17:22:30"/>
    <x v="2"/>
    <m/>
    <s v=""/>
  </r>
  <r>
    <x v="22"/>
    <x v="1"/>
    <x v="19"/>
    <x v="0"/>
    <x v="0"/>
    <x v="22"/>
    <x v="0"/>
    <d v="2017-06-13T07:25:28"/>
    <x v="3"/>
    <m/>
    <s v=""/>
  </r>
  <r>
    <x v="23"/>
    <x v="1"/>
    <x v="20"/>
    <x v="0"/>
    <x v="0"/>
    <x v="23"/>
    <x v="0"/>
    <d v="2017-06-13T08:52:57"/>
    <x v="3"/>
    <m/>
    <s v=""/>
  </r>
  <r>
    <x v="24"/>
    <x v="1"/>
    <x v="21"/>
    <x v="0"/>
    <x v="0"/>
    <x v="24"/>
    <x v="0"/>
    <d v="2017-03-13T12:54:42"/>
    <x v="3"/>
    <m/>
    <s v=""/>
  </r>
  <r>
    <x v="25"/>
    <x v="1"/>
    <x v="22"/>
    <x v="0"/>
    <x v="1"/>
    <x v="25"/>
    <x v="0"/>
    <d v="2017-05-31T09:29:26"/>
    <x v="3"/>
    <m/>
    <s v=""/>
  </r>
  <r>
    <x v="26"/>
    <x v="1"/>
    <x v="23"/>
    <x v="0"/>
    <x v="0"/>
    <x v="26"/>
    <x v="0"/>
    <d v="2017-06-13T06:46:43"/>
    <x v="3"/>
    <m/>
    <s v=""/>
  </r>
  <r>
    <x v="27"/>
    <x v="0"/>
    <x v="24"/>
    <x v="0"/>
    <x v="1"/>
    <x v="27"/>
    <x v="0"/>
    <d v="2017-05-26T09:23:08"/>
    <x v="3"/>
    <m/>
    <s v="Paused"/>
  </r>
  <r>
    <x v="28"/>
    <x v="1"/>
    <x v="25"/>
    <x v="1"/>
    <x v="0"/>
    <x v="28"/>
    <x v="0"/>
    <d v="2017-05-08T08:35:28"/>
    <x v="3"/>
    <m/>
    <s v=""/>
  </r>
  <r>
    <x v="29"/>
    <x v="1"/>
    <x v="26"/>
    <x v="0"/>
    <x v="1"/>
    <x v="29"/>
    <x v="0"/>
    <d v="2017-05-19T16:38:46"/>
    <x v="4"/>
    <m/>
    <s v=""/>
  </r>
  <r>
    <x v="30"/>
    <x v="1"/>
    <x v="27"/>
    <x v="0"/>
    <x v="1"/>
    <x v="30"/>
    <x v="0"/>
    <d v="2017-05-30T14:42:22"/>
    <x v="4"/>
    <m/>
    <s v=""/>
  </r>
  <r>
    <x v="31"/>
    <x v="0"/>
    <x v="28"/>
    <x v="0"/>
    <x v="1"/>
    <x v="31"/>
    <x v="0"/>
    <d v="2017-03-16T14:11:38"/>
    <x v="4"/>
    <m/>
    <s v="Paused"/>
  </r>
  <r>
    <x v="32"/>
    <x v="0"/>
    <x v="29"/>
    <x v="0"/>
    <x v="0"/>
    <x v="32"/>
    <x v="0"/>
    <d v="2017-05-22T11:09:01"/>
    <x v="4"/>
    <m/>
    <s v="Breached"/>
  </r>
  <r>
    <x v="33"/>
    <x v="1"/>
    <x v="30"/>
    <x v="0"/>
    <x v="0"/>
    <x v="33"/>
    <x v="0"/>
    <d v="2017-02-07T18:28:51"/>
    <x v="4"/>
    <m/>
    <s v=""/>
  </r>
  <r>
    <x v="34"/>
    <x v="1"/>
    <x v="31"/>
    <x v="0"/>
    <x v="0"/>
    <x v="34"/>
    <x v="0"/>
    <d v="2016-12-02T13:40:08"/>
    <x v="4"/>
    <m/>
    <s v=""/>
  </r>
  <r>
    <x v="35"/>
    <x v="0"/>
    <x v="32"/>
    <x v="0"/>
    <x v="1"/>
    <x v="35"/>
    <x v="0"/>
    <d v="2017-05-05T15:43:44"/>
    <x v="4"/>
    <d v="2017-06-07T15:57:35"/>
    <s v="Paused"/>
  </r>
  <r>
    <x v="36"/>
    <x v="1"/>
    <x v="33"/>
    <x v="0"/>
    <x v="1"/>
    <x v="36"/>
    <x v="0"/>
    <d v="2017-06-09T14:45:48"/>
    <x v="4"/>
    <m/>
    <s v=""/>
  </r>
  <r>
    <x v="37"/>
    <x v="1"/>
    <x v="34"/>
    <x v="0"/>
    <x v="0"/>
    <x v="37"/>
    <x v="0"/>
    <d v="2017-03-23T11:22:26"/>
    <x v="4"/>
    <m/>
    <s v=""/>
  </r>
  <r>
    <x v="38"/>
    <x v="1"/>
    <x v="35"/>
    <x v="0"/>
    <x v="1"/>
    <x v="38"/>
    <x v="0"/>
    <d v="2017-06-08T11:21:15"/>
    <x v="4"/>
    <m/>
    <s v=""/>
  </r>
  <r>
    <x v="39"/>
    <x v="0"/>
    <x v="36"/>
    <x v="0"/>
    <x v="0"/>
    <x v="39"/>
    <x v="0"/>
    <d v="2017-02-27T07:58:04"/>
    <x v="4"/>
    <d v="2017-03-24T16:31:50"/>
    <s v="Breached"/>
  </r>
  <r>
    <x v="40"/>
    <x v="0"/>
    <x v="37"/>
    <x v="0"/>
    <x v="0"/>
    <x v="40"/>
    <x v="0"/>
    <d v="2017-03-22T07:38:40"/>
    <x v="4"/>
    <m/>
    <s v="Breached"/>
  </r>
  <r>
    <x v="41"/>
    <x v="0"/>
    <x v="38"/>
    <x v="0"/>
    <x v="1"/>
    <x v="41"/>
    <x v="0"/>
    <d v="2017-06-06T15:21:06"/>
    <x v="4"/>
    <m/>
    <s v="Paused"/>
  </r>
  <r>
    <x v="42"/>
    <x v="1"/>
    <x v="39"/>
    <x v="0"/>
    <x v="0"/>
    <x v="42"/>
    <x v="0"/>
    <d v="2017-06-09T14:31:11"/>
    <x v="4"/>
    <m/>
    <s v=""/>
  </r>
  <r>
    <x v="43"/>
    <x v="1"/>
    <x v="40"/>
    <x v="0"/>
    <x v="0"/>
    <x v="43"/>
    <x v="0"/>
    <d v="2017-02-02T17:40:20"/>
    <x v="4"/>
    <m/>
    <s v=""/>
  </r>
  <r>
    <x v="44"/>
    <x v="0"/>
    <x v="41"/>
    <x v="0"/>
    <x v="1"/>
    <x v="44"/>
    <x v="0"/>
    <d v="2017-06-09T11:57:16"/>
    <x v="4"/>
    <m/>
    <s v="Paused"/>
  </r>
  <r>
    <x v="45"/>
    <x v="0"/>
    <x v="42"/>
    <x v="0"/>
    <x v="1"/>
    <x v="45"/>
    <x v="0"/>
    <d v="2017-04-10T11:54:02"/>
    <x v="5"/>
    <m/>
    <s v="Paused"/>
  </r>
  <r>
    <x v="46"/>
    <x v="0"/>
    <x v="43"/>
    <x v="0"/>
    <x v="1"/>
    <x v="46"/>
    <x v="0"/>
    <d v="2017-05-04T11:46:58"/>
    <x v="5"/>
    <m/>
    <s v="Paused"/>
  </r>
  <r>
    <x v="47"/>
    <x v="1"/>
    <x v="20"/>
    <x v="0"/>
    <x v="0"/>
    <x v="47"/>
    <x v="0"/>
    <d v="2017-06-02T15:20:53"/>
    <x v="5"/>
    <m/>
    <s v=""/>
  </r>
  <r>
    <x v="48"/>
    <x v="1"/>
    <x v="44"/>
    <x v="0"/>
    <x v="0"/>
    <x v="48"/>
    <x v="0"/>
    <d v="2017-05-18T15:21:25"/>
    <x v="5"/>
    <m/>
    <s v=""/>
  </r>
  <r>
    <x v="49"/>
    <x v="1"/>
    <x v="45"/>
    <x v="0"/>
    <x v="0"/>
    <x v="49"/>
    <x v="2"/>
    <d v="2015-09-22T17:17:07"/>
    <x v="5"/>
    <m/>
    <s v=""/>
  </r>
  <r>
    <x v="50"/>
    <x v="1"/>
    <x v="46"/>
    <x v="0"/>
    <x v="1"/>
    <x v="50"/>
    <x v="0"/>
    <d v="2017-04-13T14:34:45"/>
    <x v="5"/>
    <m/>
    <s v=""/>
  </r>
  <r>
    <x v="51"/>
    <x v="1"/>
    <x v="26"/>
    <x v="0"/>
    <x v="0"/>
    <x v="51"/>
    <x v="0"/>
    <d v="2017-05-26T18:49:40"/>
    <x v="5"/>
    <m/>
    <s v=""/>
  </r>
  <r>
    <x v="52"/>
    <x v="0"/>
    <x v="0"/>
    <x v="0"/>
    <x v="1"/>
    <x v="52"/>
    <x v="0"/>
    <d v="2017-05-31T15:00:48"/>
    <x v="5"/>
    <m/>
    <s v="Paused"/>
  </r>
  <r>
    <x v="53"/>
    <x v="0"/>
    <x v="47"/>
    <x v="0"/>
    <x v="1"/>
    <x v="53"/>
    <x v="0"/>
    <d v="2017-05-25T14:58:17"/>
    <x v="5"/>
    <m/>
    <s v="Paused"/>
  </r>
  <r>
    <x v="54"/>
    <x v="0"/>
    <x v="48"/>
    <x v="0"/>
    <x v="1"/>
    <x v="54"/>
    <x v="0"/>
    <d v="2017-06-09T16:09:52"/>
    <x v="5"/>
    <m/>
    <s v="Paused"/>
  </r>
  <r>
    <x v="55"/>
    <x v="0"/>
    <x v="49"/>
    <x v="0"/>
    <x v="1"/>
    <x v="55"/>
    <x v="0"/>
    <d v="2017-03-30T13:53:10"/>
    <x v="5"/>
    <m/>
    <s v="Paused"/>
  </r>
  <r>
    <x v="56"/>
    <x v="1"/>
    <x v="50"/>
    <x v="0"/>
    <x v="0"/>
    <x v="56"/>
    <x v="0"/>
    <d v="2017-03-28T11:53:01"/>
    <x v="5"/>
    <m/>
    <s v=""/>
  </r>
  <r>
    <x v="57"/>
    <x v="1"/>
    <x v="51"/>
    <x v="0"/>
    <x v="1"/>
    <x v="57"/>
    <x v="0"/>
    <d v="2017-05-31T14:54:54"/>
    <x v="5"/>
    <m/>
    <s v=""/>
  </r>
  <r>
    <x v="58"/>
    <x v="0"/>
    <x v="52"/>
    <x v="0"/>
    <x v="1"/>
    <x v="58"/>
    <x v="0"/>
    <d v="2017-05-31T11:51:37"/>
    <x v="5"/>
    <m/>
    <s v="Paused"/>
  </r>
  <r>
    <x v="59"/>
    <x v="0"/>
    <x v="53"/>
    <x v="0"/>
    <x v="1"/>
    <x v="59"/>
    <x v="0"/>
    <d v="2017-06-09T08:33:24"/>
    <x v="5"/>
    <m/>
    <s v="Paused"/>
  </r>
  <r>
    <x v="60"/>
    <x v="1"/>
    <x v="50"/>
    <x v="0"/>
    <x v="0"/>
    <x v="60"/>
    <x v="0"/>
    <d v="2017-04-21T14:57:52"/>
    <x v="5"/>
    <m/>
    <s v=""/>
  </r>
  <r>
    <x v="61"/>
    <x v="1"/>
    <x v="54"/>
    <x v="0"/>
    <x v="1"/>
    <x v="61"/>
    <x v="0"/>
    <d v="2017-06-02T16:56:29"/>
    <x v="5"/>
    <m/>
    <s v=""/>
  </r>
  <r>
    <x v="62"/>
    <x v="1"/>
    <x v="40"/>
    <x v="0"/>
    <x v="1"/>
    <x v="62"/>
    <x v="0"/>
    <d v="2017-05-30T12:18:55"/>
    <x v="5"/>
    <m/>
    <s v=""/>
  </r>
  <r>
    <x v="63"/>
    <x v="0"/>
    <x v="55"/>
    <x v="0"/>
    <x v="0"/>
    <x v="63"/>
    <x v="0"/>
    <d v="2017-02-23T09:00:29"/>
    <x v="5"/>
    <m/>
    <s v="Breached"/>
  </r>
  <r>
    <x v="64"/>
    <x v="1"/>
    <x v="56"/>
    <x v="0"/>
    <x v="1"/>
    <x v="64"/>
    <x v="0"/>
    <d v="2017-06-07T16:00:40"/>
    <x v="5"/>
    <m/>
    <s v=""/>
  </r>
  <r>
    <x v="65"/>
    <x v="1"/>
    <x v="57"/>
    <x v="0"/>
    <x v="1"/>
    <x v="65"/>
    <x v="0"/>
    <d v="2017-06-06T11:13:09"/>
    <x v="5"/>
    <m/>
    <s v=""/>
  </r>
  <r>
    <x v="66"/>
    <x v="0"/>
    <x v="6"/>
    <x v="1"/>
    <x v="1"/>
    <x v="66"/>
    <x v="3"/>
    <d v="2017-05-25T14:24:27"/>
    <x v="6"/>
    <m/>
    <s v="Paused"/>
  </r>
  <r>
    <x v="67"/>
    <x v="1"/>
    <x v="10"/>
    <x v="0"/>
    <x v="0"/>
    <x v="67"/>
    <x v="3"/>
    <d v="2017-05-03T14:58:56"/>
    <x v="6"/>
    <m/>
    <s v=""/>
  </r>
  <r>
    <x v="68"/>
    <x v="1"/>
    <x v="58"/>
    <x v="0"/>
    <x v="0"/>
    <x v="68"/>
    <x v="5"/>
    <d v="2017-05-30T06:36:44"/>
    <x v="6"/>
    <m/>
    <s v=""/>
  </r>
  <r>
    <x v="69"/>
    <x v="0"/>
    <x v="15"/>
    <x v="0"/>
    <x v="1"/>
    <x v="69"/>
    <x v="3"/>
    <d v="2017-05-24T16:09:51"/>
    <x v="6"/>
    <m/>
    <s v="Paused"/>
  </r>
  <r>
    <x v="70"/>
    <x v="1"/>
    <x v="59"/>
    <x v="0"/>
    <x v="0"/>
    <x v="70"/>
    <x v="2"/>
    <d v="2016-01-19T18:24:14"/>
    <x v="6"/>
    <m/>
    <s v=""/>
  </r>
  <r>
    <x v="71"/>
    <x v="1"/>
    <x v="60"/>
    <x v="0"/>
    <x v="1"/>
    <x v="71"/>
    <x v="3"/>
    <d v="2017-06-02T14:44:40"/>
    <x v="6"/>
    <m/>
    <s v=""/>
  </r>
  <r>
    <x v="72"/>
    <x v="1"/>
    <x v="61"/>
    <x v="0"/>
    <x v="0"/>
    <x v="72"/>
    <x v="3"/>
    <d v="2017-05-22T17:50:07"/>
    <x v="6"/>
    <m/>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location ref="A3:B5" firstHeaderRow="1" firstDataRow="1" firstDataCol="1"/>
  <pivotFields count="11">
    <pivotField axis="axisRow" dataField="1" showAll="0">
      <items count="74">
        <item x="0"/>
        <item x="63"/>
        <item x="39"/>
        <item x="31"/>
        <item x="40"/>
        <item x="55"/>
        <item x="45"/>
        <item x="46"/>
        <item x="35"/>
        <item x="32"/>
        <item x="69"/>
        <item x="66"/>
        <item x="53"/>
        <item x="27"/>
        <item x="17"/>
        <item x="58"/>
        <item x="52"/>
        <item x="41"/>
        <item x="11"/>
        <item x="16"/>
        <item x="59"/>
        <item x="44"/>
        <item x="54"/>
        <item x="49"/>
        <item x="21"/>
        <item x="70"/>
        <item x="1"/>
        <item x="9"/>
        <item x="34"/>
        <item x="43"/>
        <item x="33"/>
        <item x="3"/>
        <item x="5"/>
        <item x="24"/>
        <item x="37"/>
        <item x="56"/>
        <item x="8"/>
        <item x="19"/>
        <item x="50"/>
        <item x="60"/>
        <item x="13"/>
        <item x="67"/>
        <item x="28"/>
        <item x="10"/>
        <item x="12"/>
        <item x="4"/>
        <item x="48"/>
        <item x="7"/>
        <item x="29"/>
        <item x="72"/>
        <item x="2"/>
        <item x="20"/>
        <item x="15"/>
        <item x="6"/>
        <item x="18"/>
        <item x="51"/>
        <item x="68"/>
        <item x="62"/>
        <item x="30"/>
        <item x="25"/>
        <item x="57"/>
        <item x="71"/>
        <item x="47"/>
        <item x="61"/>
        <item x="65"/>
        <item x="14"/>
        <item x="64"/>
        <item x="38"/>
        <item x="42"/>
        <item x="36"/>
        <item x="26"/>
        <item x="22"/>
        <item x="23"/>
        <item t="default"/>
      </items>
    </pivotField>
    <pivotField showAll="0">
      <items count="3">
        <item x="0"/>
        <item x="1"/>
        <item t="default"/>
      </items>
    </pivotField>
    <pivotField axis="axisRow" showAll="0">
      <items count="63">
        <item x="33"/>
        <item x="12"/>
        <item x="3"/>
        <item x="18"/>
        <item x="31"/>
        <item x="2"/>
        <item x="11"/>
        <item x="13"/>
        <item x="26"/>
        <item x="52"/>
        <item x="48"/>
        <item x="17"/>
        <item x="59"/>
        <item x="29"/>
        <item x="37"/>
        <item x="42"/>
        <item x="15"/>
        <item x="36"/>
        <item x="45"/>
        <item x="5"/>
        <item x="7"/>
        <item x="51"/>
        <item x="49"/>
        <item x="25"/>
        <item x="30"/>
        <item x="14"/>
        <item x="53"/>
        <item x="6"/>
        <item x="28"/>
        <item x="46"/>
        <item x="50"/>
        <item x="35"/>
        <item x="57"/>
        <item x="55"/>
        <item x="47"/>
        <item x="24"/>
        <item x="54"/>
        <item x="60"/>
        <item x="61"/>
        <item x="38"/>
        <item x="34"/>
        <item x="58"/>
        <item x="4"/>
        <item x="56"/>
        <item x="39"/>
        <item x="27"/>
        <item x="44"/>
        <item x="41"/>
        <item x="40"/>
        <item x="16"/>
        <item x="22"/>
        <item x="32"/>
        <item x="9"/>
        <item x="21"/>
        <item x="8"/>
        <item x="23"/>
        <item x="43"/>
        <item x="20"/>
        <item x="19"/>
        <item x="1"/>
        <item x="0"/>
        <item x="10"/>
        <item t="default"/>
      </items>
    </pivotField>
    <pivotField showAll="0">
      <items count="3">
        <item x="1"/>
        <item x="0"/>
        <item t="default"/>
      </items>
    </pivotField>
    <pivotField axis="axisRow" showAll="0">
      <items count="4">
        <item x="2"/>
        <item x="1"/>
        <item x="0"/>
        <item t="default"/>
      </items>
    </pivotField>
    <pivotField axis="axisRow" showAll="0">
      <items count="74">
        <item x="39"/>
        <item x="4"/>
        <item x="71"/>
        <item x="17"/>
        <item x="66"/>
        <item x="7"/>
        <item x="69"/>
        <item x="20"/>
        <item x="18"/>
        <item x="41"/>
        <item x="16"/>
        <item x="6"/>
        <item x="43"/>
        <item x="27"/>
        <item x="57"/>
        <item x="46"/>
        <item x="44"/>
        <item x="59"/>
        <item x="23"/>
        <item x="37"/>
        <item x="54"/>
        <item x="42"/>
        <item x="56"/>
        <item x="33"/>
        <item x="52"/>
        <item x="53"/>
        <item x="2"/>
        <item x="48"/>
        <item x="3"/>
        <item x="58"/>
        <item x="55"/>
        <item x="51"/>
        <item x="45"/>
        <item x="50"/>
        <item x="70"/>
        <item x="21"/>
        <item x="49"/>
        <item x="31"/>
        <item x="35"/>
        <item x="26"/>
        <item x="65"/>
        <item x="15"/>
        <item x="24"/>
        <item x="13"/>
        <item x="47"/>
        <item x="0"/>
        <item x="38"/>
        <item x="11"/>
        <item x="8"/>
        <item x="19"/>
        <item x="28"/>
        <item x="72"/>
        <item x="68"/>
        <item x="10"/>
        <item x="67"/>
        <item x="62"/>
        <item x="32"/>
        <item x="22"/>
        <item x="12"/>
        <item x="30"/>
        <item x="25"/>
        <item x="14"/>
        <item x="36"/>
        <item x="34"/>
        <item x="5"/>
        <item x="1"/>
        <item x="40"/>
        <item x="63"/>
        <item x="60"/>
        <item x="29"/>
        <item x="9"/>
        <item x="64"/>
        <item x="61"/>
        <item t="default"/>
      </items>
    </pivotField>
    <pivotField axis="axisRow" showAll="0">
      <items count="7">
        <item sd="0" x="0"/>
        <item sd="0" x="5"/>
        <item sd="0" x="1"/>
        <item sd="0" x="3"/>
        <item sd="0" x="4"/>
        <item sd="0" x="2"/>
        <item t="default"/>
      </items>
    </pivotField>
    <pivotField numFmtId="164" showAll="0"/>
    <pivotField showAll="0">
      <items count="8">
        <item h="1" x="0"/>
        <item h="1" x="1"/>
        <item h="1" x="2"/>
        <item h="1" x="3"/>
        <item x="4"/>
        <item h="1" x="5"/>
        <item h="1" x="6"/>
        <item t="default"/>
      </items>
    </pivotField>
    <pivotField showAll="0"/>
    <pivotField showAll="0"/>
  </pivotFields>
  <rowFields count="5">
    <field x="6"/>
    <field x="0"/>
    <field x="2"/>
    <field x="4"/>
    <field x="5"/>
  </rowFields>
  <rowItems count="2">
    <i>
      <x/>
    </i>
    <i t="grand">
      <x/>
    </i>
  </rowItems>
  <colItems count="1">
    <i/>
  </colItems>
  <dataFields count="1">
    <dataField name="Count of Number"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ask_type" sourceName="Task type">
  <pivotTables>
    <pivotTable tabId="2" name="PivotTable1"/>
  </pivotTables>
  <data>
    <tabular pivotCacheId="1">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iority" sourceName="Priority">
  <pivotTables>
    <pivotTable tabId="2" name="PivotTable1"/>
  </pivotTables>
  <data>
    <tabular pivotCacheId="1">
      <items count="2">
        <i x="0" s="1"/>
        <i x="1"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Status" sourceName="Status">
  <pivotTables>
    <pivotTable tabId="2" name="PivotTable1"/>
  </pivotTables>
  <data>
    <tabular pivotCacheId="1">
      <items count="3">
        <i x="1" s="1"/>
        <i x="0" s="1"/>
        <i x="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ummary" sourceName="Summary">
  <pivotTables>
    <pivotTable tabId="2" name="PivotTable1"/>
  </pivotTables>
  <data>
    <tabular pivotCacheId="1">
      <items count="73">
        <i x="39" s="1"/>
        <i x="41" s="1"/>
        <i x="43" s="1"/>
        <i x="44" s="1"/>
        <i x="37" s="1"/>
        <i x="42" s="1"/>
        <i x="33" s="1"/>
        <i x="31" s="1"/>
        <i x="35" s="1"/>
        <i x="38" s="1"/>
        <i x="32" s="1"/>
        <i x="30" s="1"/>
        <i x="36" s="1"/>
        <i x="34" s="1"/>
        <i x="40" s="1"/>
        <i x="29" s="1"/>
        <i x="4" s="1" nd="1"/>
        <i x="71" s="1" nd="1"/>
        <i x="17" s="1" nd="1"/>
        <i x="66" s="1" nd="1"/>
        <i x="7" s="1" nd="1"/>
        <i x="69" s="1" nd="1"/>
        <i x="20" s="1" nd="1"/>
        <i x="18" s="1" nd="1"/>
        <i x="16" s="1" nd="1"/>
        <i x="6" s="1" nd="1"/>
        <i x="27" s="1" nd="1"/>
        <i x="57" s="1" nd="1"/>
        <i x="46" s="1" nd="1"/>
        <i x="59" s="1" nd="1"/>
        <i x="23" s="1" nd="1"/>
        <i x="54" s="1" nd="1"/>
        <i x="56" s="1" nd="1"/>
        <i x="52" s="1" nd="1"/>
        <i x="53" s="1" nd="1"/>
        <i x="2" s="1" nd="1"/>
        <i x="48" s="1" nd="1"/>
        <i x="3" s="1" nd="1"/>
        <i x="58" s="1" nd="1"/>
        <i x="55" s="1" nd="1"/>
        <i x="51" s="1" nd="1"/>
        <i x="45" s="1" nd="1"/>
        <i x="50" s="1" nd="1"/>
        <i x="70" s="1" nd="1"/>
        <i x="21" s="1" nd="1"/>
        <i x="49" s="1" nd="1"/>
        <i x="26" s="1" nd="1"/>
        <i x="65" s="1" nd="1"/>
        <i x="15" s="1" nd="1"/>
        <i x="24" s="1" nd="1"/>
        <i x="13" s="1" nd="1"/>
        <i x="47" s="1" nd="1"/>
        <i x="0" s="1" nd="1"/>
        <i x="11" s="1" nd="1"/>
        <i x="8" s="1" nd="1"/>
        <i x="19" s="1" nd="1"/>
        <i x="28" s="1" nd="1"/>
        <i x="72" s="1" nd="1"/>
        <i x="68" s="1" nd="1"/>
        <i x="10" s="1" nd="1"/>
        <i x="67" s="1" nd="1"/>
        <i x="62" s="1" nd="1"/>
        <i x="22" s="1" nd="1"/>
        <i x="12" s="1" nd="1"/>
        <i x="25" s="1" nd="1"/>
        <i x="14" s="1" nd="1"/>
        <i x="5" s="1" nd="1"/>
        <i x="1" s="1" nd="1"/>
        <i x="63" s="1" nd="1"/>
        <i x="60" s="1" nd="1"/>
        <i x="9" s="1" nd="1"/>
        <i x="64" s="1" nd="1"/>
        <i x="61"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ssigned_to" sourceName="Assigned to">
  <pivotTables>
    <pivotTable tabId="2" name="PivotTable1"/>
  </pivotTables>
  <data>
    <tabular pivotCacheId="1">
      <items count="7">
        <i x="0"/>
        <i x="1"/>
        <i x="2"/>
        <i x="3"/>
        <i x="4" s="1"/>
        <i x="5"/>
        <i x="6"/>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ask type" cache="Slicer_Task_type" caption="Task type" rowHeight="225425"/>
  <slicer name="Priority" cache="Slicer_Priority" caption="Priority" rowHeight="225425"/>
  <slicer name="Status" cache="Slicer_Status" caption="Status" rowHeight="225425"/>
  <slicer name="Summary" cache="Slicer_Summary" caption="Summary" startItem="9" rowHeight="225425"/>
  <slicer name="Assigned to" cache="Slicer_Assigned_to" caption="Assigned to" rowHeight="22542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5"/>
  <sheetViews>
    <sheetView tabSelected="1" workbookViewId="0">
      <selection activeCell="Q24" sqref="Q24"/>
    </sheetView>
  </sheetViews>
  <sheetFormatPr defaultRowHeight="12.75" x14ac:dyDescent="0.2"/>
  <cols>
    <col min="1" max="1" width="21.28515625" customWidth="1"/>
    <col min="2" max="2" width="16.42578125" bestFit="1" customWidth="1"/>
  </cols>
  <sheetData>
    <row r="3" spans="1:2" x14ac:dyDescent="0.2">
      <c r="A3" s="4" t="s">
        <v>238</v>
      </c>
      <c r="B3" t="s">
        <v>240</v>
      </c>
    </row>
    <row r="4" spans="1:2" x14ac:dyDescent="0.2">
      <c r="A4" s="5" t="s">
        <v>22</v>
      </c>
      <c r="B4" s="6">
        <v>16</v>
      </c>
    </row>
    <row r="5" spans="1:2" x14ac:dyDescent="0.2">
      <c r="A5" s="5" t="s">
        <v>239</v>
      </c>
      <c r="B5" s="6">
        <v>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74"/>
  <sheetViews>
    <sheetView topLeftCell="G1" workbookViewId="0">
      <pane ySplit="1" topLeftCell="A48" activePane="bottomLeft" state="frozen"/>
      <selection pane="bottomLeft" activeCell="A2" sqref="A1:K74"/>
    </sheetView>
  </sheetViews>
  <sheetFormatPr defaultRowHeight="12.75" x14ac:dyDescent="0.2"/>
  <cols>
    <col min="1" max="1" width="11.42578125" customWidth="1"/>
    <col min="2" max="2" width="14.5703125" customWidth="1"/>
    <col min="3" max="3" width="22.42578125" customWidth="1"/>
    <col min="4" max="4" width="11.42578125" customWidth="1"/>
    <col min="5" max="5" width="16.28515625" customWidth="1"/>
    <col min="6" max="6" width="106.85546875" customWidth="1"/>
    <col min="7" max="7" width="20" customWidth="1"/>
    <col min="8" max="8" width="19.140625" customWidth="1"/>
    <col min="9" max="9" width="22.42578125" customWidth="1"/>
    <col min="10" max="10" width="19.140625" customWidth="1"/>
    <col min="11" max="11" width="13" customWidth="1"/>
  </cols>
  <sheetData>
    <row r="1" spans="1:11" ht="12.75" customHeight="1" x14ac:dyDescent="0.2">
      <c r="A1" s="3" t="s">
        <v>0</v>
      </c>
      <c r="B1" s="3" t="s">
        <v>1</v>
      </c>
      <c r="C1" s="3" t="s">
        <v>2</v>
      </c>
      <c r="D1" s="3" t="s">
        <v>3</v>
      </c>
      <c r="E1" s="3" t="s">
        <v>4</v>
      </c>
      <c r="F1" s="3" t="s">
        <v>5</v>
      </c>
      <c r="G1" s="3" t="s">
        <v>6</v>
      </c>
      <c r="H1" s="3" t="s">
        <v>7</v>
      </c>
      <c r="I1" s="3" t="s">
        <v>8</v>
      </c>
      <c r="J1" s="3" t="s">
        <v>9</v>
      </c>
      <c r="K1" s="3" t="s">
        <v>10</v>
      </c>
    </row>
    <row r="2" spans="1:11" ht="12.75" customHeight="1" x14ac:dyDescent="0.2">
      <c r="A2" s="2" t="s">
        <v>23</v>
      </c>
      <c r="B2" s="2" t="s">
        <v>20</v>
      </c>
      <c r="C2" s="2" t="s">
        <v>24</v>
      </c>
      <c r="D2" s="2" t="s">
        <v>12</v>
      </c>
      <c r="E2" s="2" t="s">
        <v>25</v>
      </c>
      <c r="F2" s="2" t="s">
        <v>26</v>
      </c>
      <c r="G2" s="2" t="s">
        <v>22</v>
      </c>
      <c r="H2" s="1">
        <v>42354.6716087963</v>
      </c>
      <c r="I2" s="2" t="s">
        <v>27</v>
      </c>
      <c r="J2" s="1"/>
      <c r="K2" s="2" t="s">
        <v>28</v>
      </c>
    </row>
    <row r="3" spans="1:11" ht="12.75" customHeight="1" x14ac:dyDescent="0.2">
      <c r="A3" s="2" t="s">
        <v>29</v>
      </c>
      <c r="B3" s="2" t="s">
        <v>11</v>
      </c>
      <c r="C3" s="2" t="s">
        <v>30</v>
      </c>
      <c r="D3" s="2" t="s">
        <v>12</v>
      </c>
      <c r="E3" s="2" t="s">
        <v>31</v>
      </c>
      <c r="F3" s="2" t="s">
        <v>32</v>
      </c>
      <c r="G3" s="2" t="s">
        <v>22</v>
      </c>
      <c r="H3" s="1">
        <v>42423.64738425926</v>
      </c>
      <c r="I3" s="2" t="s">
        <v>27</v>
      </c>
      <c r="J3" s="1"/>
      <c r="K3" s="2" t="s">
        <v>14</v>
      </c>
    </row>
    <row r="4" spans="1:11" ht="12.75" customHeight="1" x14ac:dyDescent="0.2">
      <c r="A4" s="2" t="s">
        <v>33</v>
      </c>
      <c r="B4" s="2" t="s">
        <v>11</v>
      </c>
      <c r="C4" s="2" t="s">
        <v>16</v>
      </c>
      <c r="D4" s="2" t="s">
        <v>12</v>
      </c>
      <c r="E4" s="2" t="s">
        <v>25</v>
      </c>
      <c r="F4" s="2" t="s">
        <v>34</v>
      </c>
      <c r="G4" s="2" t="s">
        <v>22</v>
      </c>
      <c r="H4" s="1">
        <v>42879.523460648146</v>
      </c>
      <c r="I4" s="2" t="s">
        <v>27</v>
      </c>
      <c r="J4" s="1"/>
      <c r="K4" s="2" t="s">
        <v>14</v>
      </c>
    </row>
    <row r="5" spans="1:11" ht="12.75" customHeight="1" x14ac:dyDescent="0.2">
      <c r="A5" s="2" t="s">
        <v>35</v>
      </c>
      <c r="B5" s="2" t="s">
        <v>11</v>
      </c>
      <c r="C5" s="2" t="s">
        <v>36</v>
      </c>
      <c r="D5" s="2" t="s">
        <v>12</v>
      </c>
      <c r="E5" s="2" t="s">
        <v>25</v>
      </c>
      <c r="F5" s="2" t="s">
        <v>37</v>
      </c>
      <c r="G5" s="2" t="s">
        <v>22</v>
      </c>
      <c r="H5" s="1">
        <v>42794.691435185188</v>
      </c>
      <c r="I5" s="2" t="s">
        <v>27</v>
      </c>
      <c r="J5" s="1"/>
      <c r="K5" s="2" t="s">
        <v>14</v>
      </c>
    </row>
    <row r="6" spans="1:11" ht="12.75" customHeight="1" x14ac:dyDescent="0.2">
      <c r="A6" s="2" t="s">
        <v>38</v>
      </c>
      <c r="B6" s="2" t="s">
        <v>11</v>
      </c>
      <c r="C6" s="2" t="s">
        <v>39</v>
      </c>
      <c r="D6" s="2" t="s">
        <v>12</v>
      </c>
      <c r="E6" s="2" t="s">
        <v>31</v>
      </c>
      <c r="F6" s="2" t="s">
        <v>40</v>
      </c>
      <c r="G6" s="2" t="s">
        <v>41</v>
      </c>
      <c r="H6" s="1">
        <v>42870.713761574072</v>
      </c>
      <c r="I6" s="2" t="s">
        <v>42</v>
      </c>
      <c r="J6" s="1"/>
      <c r="K6" s="2" t="s">
        <v>14</v>
      </c>
    </row>
    <row r="7" spans="1:11" ht="12.75" customHeight="1" x14ac:dyDescent="0.2">
      <c r="A7" s="2" t="s">
        <v>43</v>
      </c>
      <c r="B7" s="2" t="s">
        <v>11</v>
      </c>
      <c r="C7" s="2" t="s">
        <v>44</v>
      </c>
      <c r="D7" s="2" t="s">
        <v>12</v>
      </c>
      <c r="E7" s="2" t="s">
        <v>31</v>
      </c>
      <c r="F7" s="2" t="s">
        <v>45</v>
      </c>
      <c r="G7" s="2" t="s">
        <v>13</v>
      </c>
      <c r="H7" s="1">
        <v>42804.322418981479</v>
      </c>
      <c r="I7" s="2" t="s">
        <v>42</v>
      </c>
      <c r="J7" s="1"/>
      <c r="K7" s="2" t="s">
        <v>14</v>
      </c>
    </row>
    <row r="8" spans="1:11" ht="12.75" customHeight="1" x14ac:dyDescent="0.2">
      <c r="A8" s="2" t="s">
        <v>46</v>
      </c>
      <c r="B8" s="2" t="s">
        <v>11</v>
      </c>
      <c r="C8" s="2" t="s">
        <v>47</v>
      </c>
      <c r="D8" s="2" t="s">
        <v>12</v>
      </c>
      <c r="E8" s="2" t="s">
        <v>25</v>
      </c>
      <c r="F8" s="2" t="s">
        <v>48</v>
      </c>
      <c r="G8" s="2" t="s">
        <v>15</v>
      </c>
      <c r="H8" s="1">
        <v>42880.708865740744</v>
      </c>
      <c r="I8" s="2" t="s">
        <v>42</v>
      </c>
      <c r="J8" s="1"/>
      <c r="K8" s="2" t="s">
        <v>14</v>
      </c>
    </row>
    <row r="9" spans="1:11" ht="12.75" customHeight="1" x14ac:dyDescent="0.2">
      <c r="A9" s="2" t="s">
        <v>49</v>
      </c>
      <c r="B9" s="2" t="s">
        <v>11</v>
      </c>
      <c r="C9" s="2" t="s">
        <v>50</v>
      </c>
      <c r="D9" s="2" t="s">
        <v>12</v>
      </c>
      <c r="E9" s="2" t="s">
        <v>25</v>
      </c>
      <c r="F9" s="2" t="s">
        <v>51</v>
      </c>
      <c r="G9" s="2" t="s">
        <v>15</v>
      </c>
      <c r="H9" s="1">
        <v>42874.384965277779</v>
      </c>
      <c r="I9" s="2" t="s">
        <v>42</v>
      </c>
      <c r="J9" s="1"/>
      <c r="K9" s="2" t="s">
        <v>14</v>
      </c>
    </row>
    <row r="10" spans="1:11" ht="12.75" customHeight="1" x14ac:dyDescent="0.2">
      <c r="A10" s="2" t="s">
        <v>52</v>
      </c>
      <c r="B10" s="2" t="s">
        <v>11</v>
      </c>
      <c r="C10" s="2" t="s">
        <v>53</v>
      </c>
      <c r="D10" s="2" t="s">
        <v>12</v>
      </c>
      <c r="E10" s="2" t="s">
        <v>54</v>
      </c>
      <c r="F10" s="2" t="s">
        <v>55</v>
      </c>
      <c r="G10" s="2" t="s">
        <v>56</v>
      </c>
      <c r="H10" s="1">
        <v>42828.635324074072</v>
      </c>
      <c r="I10" s="2" t="s">
        <v>42</v>
      </c>
      <c r="J10" s="1"/>
      <c r="K10" s="2" t="s">
        <v>14</v>
      </c>
    </row>
    <row r="11" spans="1:11" ht="12.75" customHeight="1" x14ac:dyDescent="0.2">
      <c r="A11" s="2" t="s">
        <v>57</v>
      </c>
      <c r="B11" s="2" t="s">
        <v>11</v>
      </c>
      <c r="C11" s="2" t="s">
        <v>58</v>
      </c>
      <c r="D11" s="2" t="s">
        <v>12</v>
      </c>
      <c r="E11" s="2" t="s">
        <v>25</v>
      </c>
      <c r="F11" s="2" t="s">
        <v>59</v>
      </c>
      <c r="G11" s="2" t="s">
        <v>15</v>
      </c>
      <c r="H11" s="1">
        <v>42584.706145833334</v>
      </c>
      <c r="I11" s="2" t="s">
        <v>42</v>
      </c>
      <c r="J11" s="1"/>
      <c r="K11" s="2" t="s">
        <v>14</v>
      </c>
    </row>
    <row r="12" spans="1:11" ht="12.75" customHeight="1" x14ac:dyDescent="0.2">
      <c r="A12" s="2" t="s">
        <v>60</v>
      </c>
      <c r="B12" s="2" t="s">
        <v>11</v>
      </c>
      <c r="C12" s="2" t="s">
        <v>18</v>
      </c>
      <c r="D12" s="2" t="s">
        <v>12</v>
      </c>
      <c r="E12" s="2" t="s">
        <v>25</v>
      </c>
      <c r="F12" s="2" t="s">
        <v>61</v>
      </c>
      <c r="G12" s="2" t="s">
        <v>15</v>
      </c>
      <c r="H12" s="1">
        <v>42863.590624999997</v>
      </c>
      <c r="I12" s="2" t="s">
        <v>42</v>
      </c>
      <c r="J12" s="1"/>
      <c r="K12" s="2" t="s">
        <v>14</v>
      </c>
    </row>
    <row r="13" spans="1:11" ht="12.75" customHeight="1" x14ac:dyDescent="0.2">
      <c r="A13" s="2" t="s">
        <v>62</v>
      </c>
      <c r="B13" s="2" t="s">
        <v>20</v>
      </c>
      <c r="C13" s="2" t="s">
        <v>63</v>
      </c>
      <c r="D13" s="2" t="s">
        <v>12</v>
      </c>
      <c r="E13" s="2" t="s">
        <v>31</v>
      </c>
      <c r="F13" s="2" t="s">
        <v>64</v>
      </c>
      <c r="G13" s="2" t="s">
        <v>56</v>
      </c>
      <c r="H13" s="1">
        <v>42893.332430555558</v>
      </c>
      <c r="I13" s="2" t="s">
        <v>42</v>
      </c>
      <c r="J13" s="1"/>
      <c r="K13" s="2" t="s">
        <v>65</v>
      </c>
    </row>
    <row r="14" spans="1:11" ht="12.75" customHeight="1" x14ac:dyDescent="0.2">
      <c r="A14" s="2" t="s">
        <v>66</v>
      </c>
      <c r="B14" s="2" t="s">
        <v>11</v>
      </c>
      <c r="C14" s="2" t="s">
        <v>42</v>
      </c>
      <c r="D14" s="2" t="s">
        <v>12</v>
      </c>
      <c r="E14" s="2" t="s">
        <v>25</v>
      </c>
      <c r="F14" s="2" t="s">
        <v>67</v>
      </c>
      <c r="G14" s="2" t="s">
        <v>41</v>
      </c>
      <c r="H14" s="1">
        <v>42867.766157407408</v>
      </c>
      <c r="I14" s="2" t="s">
        <v>42</v>
      </c>
      <c r="J14" s="1"/>
      <c r="K14" s="2" t="s">
        <v>14</v>
      </c>
    </row>
    <row r="15" spans="1:11" ht="12.75" customHeight="1" x14ac:dyDescent="0.2">
      <c r="A15" s="2" t="s">
        <v>68</v>
      </c>
      <c r="B15" s="2" t="s">
        <v>11</v>
      </c>
      <c r="C15" s="2" t="s">
        <v>18</v>
      </c>
      <c r="D15" s="2" t="s">
        <v>12</v>
      </c>
      <c r="E15" s="2" t="s">
        <v>25</v>
      </c>
      <c r="F15" s="2" t="s">
        <v>69</v>
      </c>
      <c r="G15" s="2" t="s">
        <v>15</v>
      </c>
      <c r="H15" s="1">
        <v>42856.581562500003</v>
      </c>
      <c r="I15" s="2" t="s">
        <v>42</v>
      </c>
      <c r="J15" s="1"/>
      <c r="K15" s="2" t="s">
        <v>14</v>
      </c>
    </row>
    <row r="16" spans="1:11" ht="12.75" customHeight="1" x14ac:dyDescent="0.2">
      <c r="A16" s="2" t="s">
        <v>70</v>
      </c>
      <c r="B16" s="2" t="s">
        <v>11</v>
      </c>
      <c r="C16" s="2" t="s">
        <v>71</v>
      </c>
      <c r="D16" s="2" t="s">
        <v>12</v>
      </c>
      <c r="E16" s="2" t="s">
        <v>25</v>
      </c>
      <c r="F16" s="2" t="s">
        <v>72</v>
      </c>
      <c r="G16" s="2" t="s">
        <v>56</v>
      </c>
      <c r="H16" s="1">
        <v>42893.611504629633</v>
      </c>
      <c r="I16" s="2" t="s">
        <v>42</v>
      </c>
      <c r="J16" s="1"/>
      <c r="K16" s="2" t="s">
        <v>14</v>
      </c>
    </row>
    <row r="17" spans="1:11" ht="12.75" customHeight="1" x14ac:dyDescent="0.2">
      <c r="A17" s="2" t="s">
        <v>73</v>
      </c>
      <c r="B17" s="2" t="s">
        <v>11</v>
      </c>
      <c r="C17" s="2" t="s">
        <v>74</v>
      </c>
      <c r="D17" s="2" t="s">
        <v>12</v>
      </c>
      <c r="E17" s="2" t="s">
        <v>54</v>
      </c>
      <c r="F17" s="2" t="s">
        <v>75</v>
      </c>
      <c r="G17" s="2" t="s">
        <v>41</v>
      </c>
      <c r="H17" s="1">
        <v>42879.689849537041</v>
      </c>
      <c r="I17" s="2" t="s">
        <v>42</v>
      </c>
      <c r="J17" s="1"/>
      <c r="K17" s="2" t="s">
        <v>14</v>
      </c>
    </row>
    <row r="18" spans="1:11" ht="12.75" customHeight="1" x14ac:dyDescent="0.2">
      <c r="A18" s="2" t="s">
        <v>76</v>
      </c>
      <c r="B18" s="2" t="s">
        <v>20</v>
      </c>
      <c r="C18" s="2" t="s">
        <v>77</v>
      </c>
      <c r="D18" s="2" t="s">
        <v>12</v>
      </c>
      <c r="E18" s="2" t="s">
        <v>31</v>
      </c>
      <c r="F18" s="2" t="s">
        <v>78</v>
      </c>
      <c r="G18" s="2" t="s">
        <v>15</v>
      </c>
      <c r="H18" s="1">
        <v>42893.377650462964</v>
      </c>
      <c r="I18" s="2" t="s">
        <v>42</v>
      </c>
      <c r="J18" s="1"/>
      <c r="K18" s="2" t="s">
        <v>65</v>
      </c>
    </row>
    <row r="19" spans="1:11" ht="12.75" customHeight="1" x14ac:dyDescent="0.2">
      <c r="A19" s="2" t="s">
        <v>79</v>
      </c>
      <c r="B19" s="2" t="s">
        <v>20</v>
      </c>
      <c r="C19" s="2" t="s">
        <v>80</v>
      </c>
      <c r="D19" s="2" t="s">
        <v>12</v>
      </c>
      <c r="E19" s="2" t="s">
        <v>31</v>
      </c>
      <c r="F19" s="2" t="s">
        <v>81</v>
      </c>
      <c r="G19" s="2" t="s">
        <v>56</v>
      </c>
      <c r="H19" s="1">
        <v>42884.302488425928</v>
      </c>
      <c r="I19" s="2" t="s">
        <v>42</v>
      </c>
      <c r="J19" s="1"/>
      <c r="K19" s="2" t="s">
        <v>65</v>
      </c>
    </row>
    <row r="20" spans="1:11" ht="12.75" customHeight="1" x14ac:dyDescent="0.2">
      <c r="A20" s="2" t="s">
        <v>82</v>
      </c>
      <c r="B20" s="2" t="s">
        <v>11</v>
      </c>
      <c r="C20" s="2" t="s">
        <v>16</v>
      </c>
      <c r="D20" s="2" t="s">
        <v>12</v>
      </c>
      <c r="E20" s="2" t="s">
        <v>25</v>
      </c>
      <c r="F20" s="2" t="s">
        <v>83</v>
      </c>
      <c r="G20" s="2" t="s">
        <v>15</v>
      </c>
      <c r="H20" s="1">
        <v>42881.716689814813</v>
      </c>
      <c r="I20" s="2" t="s">
        <v>42</v>
      </c>
      <c r="J20" s="1"/>
      <c r="K20" s="2" t="s">
        <v>14</v>
      </c>
    </row>
    <row r="21" spans="1:11" ht="12.75" customHeight="1" x14ac:dyDescent="0.2">
      <c r="A21" s="2" t="s">
        <v>85</v>
      </c>
      <c r="B21" s="2" t="s">
        <v>11</v>
      </c>
      <c r="C21" s="2" t="s">
        <v>86</v>
      </c>
      <c r="D21" s="2" t="s">
        <v>12</v>
      </c>
      <c r="E21" s="2" t="s">
        <v>31</v>
      </c>
      <c r="F21" s="2" t="s">
        <v>87</v>
      </c>
      <c r="G21" s="2" t="s">
        <v>15</v>
      </c>
      <c r="H21" s="1">
        <v>42832.595405092594</v>
      </c>
      <c r="I21" s="2" t="s">
        <v>88</v>
      </c>
      <c r="J21" s="1"/>
      <c r="K21" s="2" t="s">
        <v>14</v>
      </c>
    </row>
    <row r="22" spans="1:11" ht="12.75" customHeight="1" x14ac:dyDescent="0.2">
      <c r="A22" s="2" t="s">
        <v>89</v>
      </c>
      <c r="B22" s="2" t="s">
        <v>11</v>
      </c>
      <c r="C22" s="2" t="s">
        <v>88</v>
      </c>
      <c r="D22" s="2" t="s">
        <v>12</v>
      </c>
      <c r="E22" s="2" t="s">
        <v>31</v>
      </c>
      <c r="F22" s="2" t="s">
        <v>90</v>
      </c>
      <c r="G22" s="2" t="s">
        <v>15</v>
      </c>
      <c r="H22" s="1">
        <v>42879.679560185185</v>
      </c>
      <c r="I22" s="2" t="s">
        <v>88</v>
      </c>
      <c r="J22" s="1"/>
      <c r="K22" s="2" t="s">
        <v>14</v>
      </c>
    </row>
    <row r="23" spans="1:11" ht="12.75" customHeight="1" x14ac:dyDescent="0.2">
      <c r="A23" s="2" t="s">
        <v>91</v>
      </c>
      <c r="B23" s="2" t="s">
        <v>11</v>
      </c>
      <c r="C23" s="2" t="s">
        <v>53</v>
      </c>
      <c r="D23" s="2" t="s">
        <v>12</v>
      </c>
      <c r="E23" s="2" t="s">
        <v>31</v>
      </c>
      <c r="F23" s="2" t="s">
        <v>92</v>
      </c>
      <c r="G23" s="2" t="s">
        <v>13</v>
      </c>
      <c r="H23" s="1">
        <v>42269.723958333336</v>
      </c>
      <c r="I23" s="2" t="s">
        <v>88</v>
      </c>
      <c r="J23" s="1"/>
      <c r="K23" s="2" t="s">
        <v>14</v>
      </c>
    </row>
    <row r="24" spans="1:11" ht="12.75" customHeight="1" x14ac:dyDescent="0.2">
      <c r="A24" s="2" t="s">
        <v>93</v>
      </c>
      <c r="B24" s="2" t="s">
        <v>11</v>
      </c>
      <c r="C24" s="2" t="s">
        <v>94</v>
      </c>
      <c r="D24" s="2" t="s">
        <v>12</v>
      </c>
      <c r="E24" s="2" t="s">
        <v>25</v>
      </c>
      <c r="F24" s="2" t="s">
        <v>95</v>
      </c>
      <c r="G24" s="2" t="s">
        <v>22</v>
      </c>
      <c r="H24" s="1">
        <v>42899.309351851851</v>
      </c>
      <c r="I24" s="2" t="s">
        <v>96</v>
      </c>
      <c r="J24" s="1"/>
      <c r="K24" s="2" t="s">
        <v>14</v>
      </c>
    </row>
    <row r="25" spans="1:11" ht="12.75" customHeight="1" x14ac:dyDescent="0.2">
      <c r="A25" s="2" t="s">
        <v>97</v>
      </c>
      <c r="B25" s="2" t="s">
        <v>11</v>
      </c>
      <c r="C25" s="2" t="s">
        <v>17</v>
      </c>
      <c r="D25" s="2" t="s">
        <v>12</v>
      </c>
      <c r="E25" s="2" t="s">
        <v>25</v>
      </c>
      <c r="F25" s="2" t="s">
        <v>98</v>
      </c>
      <c r="G25" s="2" t="s">
        <v>22</v>
      </c>
      <c r="H25" s="1">
        <v>42899.370104166665</v>
      </c>
      <c r="I25" s="2" t="s">
        <v>96</v>
      </c>
      <c r="J25" s="1"/>
      <c r="K25" s="2" t="s">
        <v>14</v>
      </c>
    </row>
    <row r="26" spans="1:11" ht="12.75" customHeight="1" x14ac:dyDescent="0.2">
      <c r="A26" s="2" t="s">
        <v>99</v>
      </c>
      <c r="B26" s="2" t="s">
        <v>11</v>
      </c>
      <c r="C26" s="2" t="s">
        <v>19</v>
      </c>
      <c r="D26" s="2" t="s">
        <v>12</v>
      </c>
      <c r="E26" s="2" t="s">
        <v>25</v>
      </c>
      <c r="F26" s="2" t="s">
        <v>100</v>
      </c>
      <c r="G26" s="2" t="s">
        <v>22</v>
      </c>
      <c r="H26" s="1">
        <v>42807.537986111114</v>
      </c>
      <c r="I26" s="2" t="s">
        <v>96</v>
      </c>
      <c r="J26" s="1"/>
      <c r="K26" s="2" t="s">
        <v>14</v>
      </c>
    </row>
    <row r="27" spans="1:11" ht="12.75" customHeight="1" x14ac:dyDescent="0.2">
      <c r="A27" s="2" t="s">
        <v>101</v>
      </c>
      <c r="B27" s="2" t="s">
        <v>11</v>
      </c>
      <c r="C27" s="2" t="s">
        <v>102</v>
      </c>
      <c r="D27" s="2" t="s">
        <v>12</v>
      </c>
      <c r="E27" s="2" t="s">
        <v>31</v>
      </c>
      <c r="F27" s="2" t="s">
        <v>103</v>
      </c>
      <c r="G27" s="2" t="s">
        <v>22</v>
      </c>
      <c r="H27" s="1">
        <v>42886.395439814813</v>
      </c>
      <c r="I27" s="2" t="s">
        <v>96</v>
      </c>
      <c r="J27" s="1"/>
      <c r="K27" s="2" t="s">
        <v>14</v>
      </c>
    </row>
    <row r="28" spans="1:11" ht="12.75" customHeight="1" x14ac:dyDescent="0.2">
      <c r="A28" s="2" t="s">
        <v>104</v>
      </c>
      <c r="B28" s="2" t="s">
        <v>11</v>
      </c>
      <c r="C28" s="2" t="s">
        <v>105</v>
      </c>
      <c r="D28" s="2" t="s">
        <v>12</v>
      </c>
      <c r="E28" s="2" t="s">
        <v>25</v>
      </c>
      <c r="F28" s="2" t="s">
        <v>106</v>
      </c>
      <c r="G28" s="2" t="s">
        <v>22</v>
      </c>
      <c r="H28" s="1">
        <v>42899.282442129632</v>
      </c>
      <c r="I28" s="2" t="s">
        <v>96</v>
      </c>
      <c r="J28" s="1"/>
      <c r="K28" s="2" t="s">
        <v>14</v>
      </c>
    </row>
    <row r="29" spans="1:11" ht="12.75" customHeight="1" x14ac:dyDescent="0.2">
      <c r="A29" s="2" t="s">
        <v>107</v>
      </c>
      <c r="B29" s="2" t="s">
        <v>20</v>
      </c>
      <c r="C29" s="2" t="s">
        <v>108</v>
      </c>
      <c r="D29" s="2" t="s">
        <v>12</v>
      </c>
      <c r="E29" s="2" t="s">
        <v>31</v>
      </c>
      <c r="F29" s="2" t="s">
        <v>109</v>
      </c>
      <c r="G29" s="2" t="s">
        <v>22</v>
      </c>
      <c r="H29" s="1">
        <v>42881.391064814816</v>
      </c>
      <c r="I29" s="2" t="s">
        <v>96</v>
      </c>
      <c r="J29" s="1"/>
      <c r="K29" s="2" t="s">
        <v>65</v>
      </c>
    </row>
    <row r="30" spans="1:11" ht="12.75" customHeight="1" x14ac:dyDescent="0.2">
      <c r="A30" s="2" t="s">
        <v>110</v>
      </c>
      <c r="B30" s="2" t="s">
        <v>11</v>
      </c>
      <c r="C30" s="2" t="s">
        <v>111</v>
      </c>
      <c r="D30" s="2" t="s">
        <v>21</v>
      </c>
      <c r="E30" s="2" t="s">
        <v>25</v>
      </c>
      <c r="F30" s="2" t="s">
        <v>112</v>
      </c>
      <c r="G30" s="2" t="s">
        <v>22</v>
      </c>
      <c r="H30" s="1">
        <v>42863.35796296296</v>
      </c>
      <c r="I30" s="2" t="s">
        <v>96</v>
      </c>
      <c r="J30" s="1"/>
      <c r="K30" s="2" t="s">
        <v>14</v>
      </c>
    </row>
    <row r="31" spans="1:11" ht="12.75" customHeight="1" x14ac:dyDescent="0.2">
      <c r="A31" s="2" t="s">
        <v>113</v>
      </c>
      <c r="B31" s="2" t="s">
        <v>11</v>
      </c>
      <c r="C31" s="2" t="s">
        <v>114</v>
      </c>
      <c r="D31" s="2" t="s">
        <v>12</v>
      </c>
      <c r="E31" s="2" t="s">
        <v>31</v>
      </c>
      <c r="F31" s="2" t="s">
        <v>115</v>
      </c>
      <c r="G31" s="2" t="s">
        <v>22</v>
      </c>
      <c r="H31" s="1">
        <v>42874.69358796296</v>
      </c>
      <c r="I31" s="2" t="s">
        <v>19</v>
      </c>
      <c r="J31" s="1"/>
      <c r="K31" s="2" t="s">
        <v>14</v>
      </c>
    </row>
    <row r="32" spans="1:11" ht="12.75" customHeight="1" x14ac:dyDescent="0.2">
      <c r="A32" s="2" t="s">
        <v>116</v>
      </c>
      <c r="B32" s="2" t="s">
        <v>11</v>
      </c>
      <c r="C32" s="2" t="s">
        <v>117</v>
      </c>
      <c r="D32" s="2" t="s">
        <v>12</v>
      </c>
      <c r="E32" s="2" t="s">
        <v>31</v>
      </c>
      <c r="F32" s="2" t="s">
        <v>118</v>
      </c>
      <c r="G32" s="2" t="s">
        <v>22</v>
      </c>
      <c r="H32" s="1">
        <v>42885.612754629627</v>
      </c>
      <c r="I32" s="2" t="s">
        <v>19</v>
      </c>
      <c r="J32" s="1"/>
      <c r="K32" s="2" t="s">
        <v>14</v>
      </c>
    </row>
    <row r="33" spans="1:11" ht="12.75" customHeight="1" x14ac:dyDescent="0.2">
      <c r="A33" s="2" t="s">
        <v>119</v>
      </c>
      <c r="B33" s="2" t="s">
        <v>20</v>
      </c>
      <c r="C33" s="2" t="s">
        <v>120</v>
      </c>
      <c r="D33" s="2" t="s">
        <v>12</v>
      </c>
      <c r="E33" s="2" t="s">
        <v>31</v>
      </c>
      <c r="F33" s="2" t="s">
        <v>121</v>
      </c>
      <c r="G33" s="2" t="s">
        <v>22</v>
      </c>
      <c r="H33" s="1">
        <v>42810.591412037036</v>
      </c>
      <c r="I33" s="2" t="s">
        <v>19</v>
      </c>
      <c r="J33" s="1"/>
      <c r="K33" s="2" t="s">
        <v>65</v>
      </c>
    </row>
    <row r="34" spans="1:11" ht="12.75" customHeight="1" x14ac:dyDescent="0.2">
      <c r="A34" s="2" t="s">
        <v>122</v>
      </c>
      <c r="B34" s="2" t="s">
        <v>20</v>
      </c>
      <c r="C34" s="2" t="s">
        <v>123</v>
      </c>
      <c r="D34" s="2" t="s">
        <v>12</v>
      </c>
      <c r="E34" s="2" t="s">
        <v>25</v>
      </c>
      <c r="F34" s="2" t="s">
        <v>124</v>
      </c>
      <c r="G34" s="2" t="s">
        <v>22</v>
      </c>
      <c r="H34" s="1">
        <v>42877.464594907404</v>
      </c>
      <c r="I34" s="2" t="s">
        <v>19</v>
      </c>
      <c r="J34" s="1"/>
      <c r="K34" s="2" t="s">
        <v>28</v>
      </c>
    </row>
    <row r="35" spans="1:11" ht="12.75" customHeight="1" x14ac:dyDescent="0.2">
      <c r="A35" s="2" t="s">
        <v>125</v>
      </c>
      <c r="B35" s="2" t="s">
        <v>11</v>
      </c>
      <c r="C35" s="2" t="s">
        <v>126</v>
      </c>
      <c r="D35" s="2" t="s">
        <v>12</v>
      </c>
      <c r="E35" s="2" t="s">
        <v>25</v>
      </c>
      <c r="F35" s="2" t="s">
        <v>127</v>
      </c>
      <c r="G35" s="2" t="s">
        <v>22</v>
      </c>
      <c r="H35" s="1">
        <v>42773.77003472222</v>
      </c>
      <c r="I35" s="2" t="s">
        <v>19</v>
      </c>
      <c r="J35" s="1"/>
      <c r="K35" s="2" t="s">
        <v>14</v>
      </c>
    </row>
    <row r="36" spans="1:11" ht="12.75" customHeight="1" x14ac:dyDescent="0.2">
      <c r="A36" s="2" t="s">
        <v>128</v>
      </c>
      <c r="B36" s="2" t="s">
        <v>11</v>
      </c>
      <c r="C36" s="2" t="s">
        <v>129</v>
      </c>
      <c r="D36" s="2" t="s">
        <v>12</v>
      </c>
      <c r="E36" s="2" t="s">
        <v>25</v>
      </c>
      <c r="F36" s="2" t="s">
        <v>130</v>
      </c>
      <c r="G36" s="2" t="s">
        <v>22</v>
      </c>
      <c r="H36" s="1">
        <v>42706.569537037038</v>
      </c>
      <c r="I36" s="2" t="s">
        <v>19</v>
      </c>
      <c r="J36" s="1"/>
      <c r="K36" s="2" t="s">
        <v>14</v>
      </c>
    </row>
    <row r="37" spans="1:11" ht="12.75" customHeight="1" x14ac:dyDescent="0.2">
      <c r="A37" s="2" t="s">
        <v>131</v>
      </c>
      <c r="B37" s="2" t="s">
        <v>20</v>
      </c>
      <c r="C37" s="2" t="s">
        <v>132</v>
      </c>
      <c r="D37" s="2" t="s">
        <v>12</v>
      </c>
      <c r="E37" s="2" t="s">
        <v>31</v>
      </c>
      <c r="F37" s="2" t="s">
        <v>133</v>
      </c>
      <c r="G37" s="2" t="s">
        <v>22</v>
      </c>
      <c r="H37" s="1">
        <v>42860.655370370368</v>
      </c>
      <c r="I37" s="2" t="s">
        <v>19</v>
      </c>
      <c r="J37" s="1">
        <v>42893.664988425924</v>
      </c>
      <c r="K37" s="2" t="s">
        <v>65</v>
      </c>
    </row>
    <row r="38" spans="1:11" ht="12.75" customHeight="1" x14ac:dyDescent="0.2">
      <c r="A38" s="2" t="s">
        <v>134</v>
      </c>
      <c r="B38" s="2" t="s">
        <v>11</v>
      </c>
      <c r="C38" s="2" t="s">
        <v>135</v>
      </c>
      <c r="D38" s="2" t="s">
        <v>12</v>
      </c>
      <c r="E38" s="2" t="s">
        <v>31</v>
      </c>
      <c r="F38" s="2" t="s">
        <v>136</v>
      </c>
      <c r="G38" s="2" t="s">
        <v>22</v>
      </c>
      <c r="H38" s="1">
        <v>42895.61513888889</v>
      </c>
      <c r="I38" s="2" t="s">
        <v>19</v>
      </c>
      <c r="J38" s="1"/>
      <c r="K38" s="2" t="s">
        <v>14</v>
      </c>
    </row>
    <row r="39" spans="1:11" ht="12.75" customHeight="1" x14ac:dyDescent="0.2">
      <c r="A39" s="2" t="s">
        <v>137</v>
      </c>
      <c r="B39" s="2" t="s">
        <v>11</v>
      </c>
      <c r="C39" s="2" t="s">
        <v>138</v>
      </c>
      <c r="D39" s="2" t="s">
        <v>12</v>
      </c>
      <c r="E39" s="2" t="s">
        <v>25</v>
      </c>
      <c r="F39" s="2" t="s">
        <v>139</v>
      </c>
      <c r="G39" s="2" t="s">
        <v>22</v>
      </c>
      <c r="H39" s="1">
        <v>42817.473912037036</v>
      </c>
      <c r="I39" s="2" t="s">
        <v>19</v>
      </c>
      <c r="J39" s="1"/>
      <c r="K39" s="2" t="s">
        <v>14</v>
      </c>
    </row>
    <row r="40" spans="1:11" ht="12.75" customHeight="1" x14ac:dyDescent="0.2">
      <c r="A40" s="2" t="s">
        <v>140</v>
      </c>
      <c r="B40" s="2" t="s">
        <v>11</v>
      </c>
      <c r="C40" s="2" t="s">
        <v>96</v>
      </c>
      <c r="D40" s="2" t="s">
        <v>12</v>
      </c>
      <c r="E40" s="2" t="s">
        <v>31</v>
      </c>
      <c r="F40" s="2" t="s">
        <v>141</v>
      </c>
      <c r="G40" s="2" t="s">
        <v>22</v>
      </c>
      <c r="H40" s="1">
        <v>42894.473090277781</v>
      </c>
      <c r="I40" s="2" t="s">
        <v>19</v>
      </c>
      <c r="J40" s="1"/>
      <c r="K40" s="2" t="s">
        <v>14</v>
      </c>
    </row>
    <row r="41" spans="1:11" ht="12.75" customHeight="1" x14ac:dyDescent="0.2">
      <c r="A41" s="2" t="s">
        <v>142</v>
      </c>
      <c r="B41" s="2" t="s">
        <v>20</v>
      </c>
      <c r="C41" s="2" t="s">
        <v>143</v>
      </c>
      <c r="D41" s="2" t="s">
        <v>12</v>
      </c>
      <c r="E41" s="2" t="s">
        <v>25</v>
      </c>
      <c r="F41" s="2" t="s">
        <v>144</v>
      </c>
      <c r="G41" s="2" t="s">
        <v>22</v>
      </c>
      <c r="H41" s="1">
        <v>42793.331990740742</v>
      </c>
      <c r="I41" s="2" t="s">
        <v>19</v>
      </c>
      <c r="J41" s="1">
        <v>42818.688773148147</v>
      </c>
      <c r="K41" s="2" t="s">
        <v>28</v>
      </c>
    </row>
    <row r="42" spans="1:11" ht="12.75" customHeight="1" x14ac:dyDescent="0.2">
      <c r="A42" s="2" t="s">
        <v>145</v>
      </c>
      <c r="B42" s="2" t="s">
        <v>20</v>
      </c>
      <c r="C42" s="2" t="s">
        <v>146</v>
      </c>
      <c r="D42" s="2" t="s">
        <v>12</v>
      </c>
      <c r="E42" s="2" t="s">
        <v>25</v>
      </c>
      <c r="F42" s="2" t="s">
        <v>147</v>
      </c>
      <c r="G42" s="2" t="s">
        <v>22</v>
      </c>
      <c r="H42" s="1">
        <v>42816.318518518521</v>
      </c>
      <c r="I42" s="2" t="s">
        <v>19</v>
      </c>
      <c r="J42" s="1"/>
      <c r="K42" s="2" t="s">
        <v>28</v>
      </c>
    </row>
    <row r="43" spans="1:11" ht="12.75" customHeight="1" x14ac:dyDescent="0.2">
      <c r="A43" s="2" t="s">
        <v>148</v>
      </c>
      <c r="B43" s="2" t="s">
        <v>20</v>
      </c>
      <c r="C43" s="2" t="s">
        <v>149</v>
      </c>
      <c r="D43" s="2" t="s">
        <v>12</v>
      </c>
      <c r="E43" s="2" t="s">
        <v>31</v>
      </c>
      <c r="F43" s="2" t="s">
        <v>150</v>
      </c>
      <c r="G43" s="2" t="s">
        <v>22</v>
      </c>
      <c r="H43" s="1">
        <v>42892.639652777776</v>
      </c>
      <c r="I43" s="2" t="s">
        <v>19</v>
      </c>
      <c r="J43" s="1"/>
      <c r="K43" s="2" t="s">
        <v>65</v>
      </c>
    </row>
    <row r="44" spans="1:11" ht="12.75" customHeight="1" x14ac:dyDescent="0.2">
      <c r="A44" s="2" t="s">
        <v>151</v>
      </c>
      <c r="B44" s="2" t="s">
        <v>11</v>
      </c>
      <c r="C44" s="2" t="s">
        <v>152</v>
      </c>
      <c r="D44" s="2" t="s">
        <v>12</v>
      </c>
      <c r="E44" s="2" t="s">
        <v>25</v>
      </c>
      <c r="F44" s="2" t="s">
        <v>153</v>
      </c>
      <c r="G44" s="2" t="s">
        <v>22</v>
      </c>
      <c r="H44" s="1">
        <v>42895.604988425926</v>
      </c>
      <c r="I44" s="2" t="s">
        <v>19</v>
      </c>
      <c r="J44" s="1"/>
      <c r="K44" s="2" t="s">
        <v>14</v>
      </c>
    </row>
    <row r="45" spans="1:11" ht="12.75" customHeight="1" x14ac:dyDescent="0.2">
      <c r="A45" s="2" t="s">
        <v>154</v>
      </c>
      <c r="B45" s="2" t="s">
        <v>11</v>
      </c>
      <c r="C45" s="2" t="s">
        <v>84</v>
      </c>
      <c r="D45" s="2" t="s">
        <v>12</v>
      </c>
      <c r="E45" s="2" t="s">
        <v>25</v>
      </c>
      <c r="F45" s="2" t="s">
        <v>155</v>
      </c>
      <c r="G45" s="2" t="s">
        <v>22</v>
      </c>
      <c r="H45" s="1">
        <v>42768.736342592594</v>
      </c>
      <c r="I45" s="2" t="s">
        <v>19</v>
      </c>
      <c r="J45" s="1"/>
      <c r="K45" s="2" t="s">
        <v>14</v>
      </c>
    </row>
    <row r="46" spans="1:11" ht="12.75" customHeight="1" x14ac:dyDescent="0.2">
      <c r="A46" s="2" t="s">
        <v>156</v>
      </c>
      <c r="B46" s="2" t="s">
        <v>20</v>
      </c>
      <c r="C46" s="2" t="s">
        <v>157</v>
      </c>
      <c r="D46" s="2" t="s">
        <v>12</v>
      </c>
      <c r="E46" s="2" t="s">
        <v>31</v>
      </c>
      <c r="F46" s="2" t="s">
        <v>158</v>
      </c>
      <c r="G46" s="2" t="s">
        <v>22</v>
      </c>
      <c r="H46" s="1">
        <v>42895.498101851852</v>
      </c>
      <c r="I46" s="2" t="s">
        <v>19</v>
      </c>
      <c r="J46" s="1"/>
      <c r="K46" s="2" t="s">
        <v>65</v>
      </c>
    </row>
    <row r="47" spans="1:11" ht="12.75" customHeight="1" x14ac:dyDescent="0.2">
      <c r="A47" s="2" t="s">
        <v>159</v>
      </c>
      <c r="B47" s="2" t="s">
        <v>20</v>
      </c>
      <c r="C47" s="2" t="s">
        <v>160</v>
      </c>
      <c r="D47" s="2" t="s">
        <v>12</v>
      </c>
      <c r="E47" s="2" t="s">
        <v>31</v>
      </c>
      <c r="F47" s="2" t="s">
        <v>161</v>
      </c>
      <c r="G47" s="2" t="s">
        <v>22</v>
      </c>
      <c r="H47" s="1">
        <v>42835.495856481481</v>
      </c>
      <c r="I47" s="2" t="s">
        <v>162</v>
      </c>
      <c r="J47" s="1"/>
      <c r="K47" s="2" t="s">
        <v>65</v>
      </c>
    </row>
    <row r="48" spans="1:11" ht="12.75" customHeight="1" x14ac:dyDescent="0.2">
      <c r="A48" s="2" t="s">
        <v>163</v>
      </c>
      <c r="B48" s="2" t="s">
        <v>20</v>
      </c>
      <c r="C48" s="2" t="s">
        <v>164</v>
      </c>
      <c r="D48" s="2" t="s">
        <v>12</v>
      </c>
      <c r="E48" s="2" t="s">
        <v>31</v>
      </c>
      <c r="F48" s="2" t="s">
        <v>165</v>
      </c>
      <c r="G48" s="2" t="s">
        <v>22</v>
      </c>
      <c r="H48" s="1">
        <v>42859.490949074076</v>
      </c>
      <c r="I48" s="2" t="s">
        <v>162</v>
      </c>
      <c r="J48" s="1"/>
      <c r="K48" s="2" t="s">
        <v>65</v>
      </c>
    </row>
    <row r="49" spans="1:11" ht="12.75" customHeight="1" x14ac:dyDescent="0.2">
      <c r="A49" s="2" t="s">
        <v>166</v>
      </c>
      <c r="B49" s="2" t="s">
        <v>11</v>
      </c>
      <c r="C49" s="2" t="s">
        <v>17</v>
      </c>
      <c r="D49" s="2" t="s">
        <v>12</v>
      </c>
      <c r="E49" s="2" t="s">
        <v>25</v>
      </c>
      <c r="F49" s="2" t="s">
        <v>167</v>
      </c>
      <c r="G49" s="2" t="s">
        <v>22</v>
      </c>
      <c r="H49" s="1">
        <v>42888.639502314814</v>
      </c>
      <c r="I49" s="2" t="s">
        <v>162</v>
      </c>
      <c r="J49" s="1"/>
      <c r="K49" s="2" t="s">
        <v>14</v>
      </c>
    </row>
    <row r="50" spans="1:11" ht="12.75" customHeight="1" x14ac:dyDescent="0.2">
      <c r="A50" s="2" t="s">
        <v>168</v>
      </c>
      <c r="B50" s="2" t="s">
        <v>11</v>
      </c>
      <c r="C50" s="2" t="s">
        <v>169</v>
      </c>
      <c r="D50" s="2" t="s">
        <v>12</v>
      </c>
      <c r="E50" s="2" t="s">
        <v>25</v>
      </c>
      <c r="F50" s="2" t="s">
        <v>170</v>
      </c>
      <c r="G50" s="2" t="s">
        <v>22</v>
      </c>
      <c r="H50" s="1">
        <v>42873.639872685184</v>
      </c>
      <c r="I50" s="2" t="s">
        <v>162</v>
      </c>
      <c r="J50" s="1"/>
      <c r="K50" s="2" t="s">
        <v>14</v>
      </c>
    </row>
    <row r="51" spans="1:11" ht="12.75" customHeight="1" x14ac:dyDescent="0.2">
      <c r="A51" s="2" t="s">
        <v>171</v>
      </c>
      <c r="B51" s="2" t="s">
        <v>11</v>
      </c>
      <c r="C51" s="2" t="s">
        <v>172</v>
      </c>
      <c r="D51" s="2" t="s">
        <v>12</v>
      </c>
      <c r="E51" s="2" t="s">
        <v>25</v>
      </c>
      <c r="F51" s="2" t="s">
        <v>173</v>
      </c>
      <c r="G51" s="2" t="s">
        <v>13</v>
      </c>
      <c r="H51" s="1">
        <v>42269.720219907409</v>
      </c>
      <c r="I51" s="2" t="s">
        <v>162</v>
      </c>
      <c r="J51" s="1"/>
      <c r="K51" s="2" t="s">
        <v>14</v>
      </c>
    </row>
    <row r="52" spans="1:11" ht="12.75" customHeight="1" x14ac:dyDescent="0.2">
      <c r="A52" s="2" t="s">
        <v>174</v>
      </c>
      <c r="B52" s="2" t="s">
        <v>11</v>
      </c>
      <c r="C52" s="2" t="s">
        <v>175</v>
      </c>
      <c r="D52" s="2" t="s">
        <v>12</v>
      </c>
      <c r="E52" s="2" t="s">
        <v>31</v>
      </c>
      <c r="F52" s="2" t="s">
        <v>176</v>
      </c>
      <c r="G52" s="2" t="s">
        <v>22</v>
      </c>
      <c r="H52" s="1">
        <v>42838.607465277775</v>
      </c>
      <c r="I52" s="2" t="s">
        <v>162</v>
      </c>
      <c r="J52" s="1"/>
      <c r="K52" s="2" t="s">
        <v>14</v>
      </c>
    </row>
    <row r="53" spans="1:11" ht="12.75" customHeight="1" x14ac:dyDescent="0.2">
      <c r="A53" s="2" t="s">
        <v>177</v>
      </c>
      <c r="B53" s="2" t="s">
        <v>11</v>
      </c>
      <c r="C53" s="2" t="s">
        <v>114</v>
      </c>
      <c r="D53" s="2" t="s">
        <v>12</v>
      </c>
      <c r="E53" s="2" t="s">
        <v>25</v>
      </c>
      <c r="F53" s="2" t="s">
        <v>178</v>
      </c>
      <c r="G53" s="2" t="s">
        <v>22</v>
      </c>
      <c r="H53" s="1">
        <v>42881.784490740742</v>
      </c>
      <c r="I53" s="2" t="s">
        <v>162</v>
      </c>
      <c r="J53" s="1"/>
      <c r="K53" s="2" t="s">
        <v>14</v>
      </c>
    </row>
    <row r="54" spans="1:11" ht="12.75" customHeight="1" x14ac:dyDescent="0.2">
      <c r="A54" s="2" t="s">
        <v>179</v>
      </c>
      <c r="B54" s="2" t="s">
        <v>20</v>
      </c>
      <c r="C54" s="2" t="s">
        <v>24</v>
      </c>
      <c r="D54" s="2" t="s">
        <v>12</v>
      </c>
      <c r="E54" s="2" t="s">
        <v>31</v>
      </c>
      <c r="F54" s="2" t="s">
        <v>180</v>
      </c>
      <c r="G54" s="2" t="s">
        <v>22</v>
      </c>
      <c r="H54" s="1">
        <v>42886.625555555554</v>
      </c>
      <c r="I54" s="2" t="s">
        <v>162</v>
      </c>
      <c r="J54" s="1"/>
      <c r="K54" s="2" t="s">
        <v>65</v>
      </c>
    </row>
    <row r="55" spans="1:11" ht="12.75" customHeight="1" x14ac:dyDescent="0.2">
      <c r="A55" s="2" t="s">
        <v>181</v>
      </c>
      <c r="B55" s="2" t="s">
        <v>20</v>
      </c>
      <c r="C55" s="2" t="s">
        <v>182</v>
      </c>
      <c r="D55" s="2" t="s">
        <v>12</v>
      </c>
      <c r="E55" s="2" t="s">
        <v>31</v>
      </c>
      <c r="F55" s="2" t="s">
        <v>183</v>
      </c>
      <c r="G55" s="2" t="s">
        <v>22</v>
      </c>
      <c r="H55" s="1">
        <v>42880.623807870368</v>
      </c>
      <c r="I55" s="2" t="s">
        <v>162</v>
      </c>
      <c r="J55" s="1"/>
      <c r="K55" s="2" t="s">
        <v>65</v>
      </c>
    </row>
    <row r="56" spans="1:11" ht="12.75" customHeight="1" x14ac:dyDescent="0.2">
      <c r="A56" s="2" t="s">
        <v>184</v>
      </c>
      <c r="B56" s="2" t="s">
        <v>20</v>
      </c>
      <c r="C56" s="2" t="s">
        <v>185</v>
      </c>
      <c r="D56" s="2" t="s">
        <v>12</v>
      </c>
      <c r="E56" s="2" t="s">
        <v>31</v>
      </c>
      <c r="F56" s="2" t="s">
        <v>186</v>
      </c>
      <c r="G56" s="2" t="s">
        <v>22</v>
      </c>
      <c r="H56" s="1">
        <v>42895.673518518517</v>
      </c>
      <c r="I56" s="2" t="s">
        <v>162</v>
      </c>
      <c r="J56" s="1"/>
      <c r="K56" s="2" t="s">
        <v>65</v>
      </c>
    </row>
    <row r="57" spans="1:11" ht="12.75" customHeight="1" x14ac:dyDescent="0.2">
      <c r="A57" s="2" t="s">
        <v>187</v>
      </c>
      <c r="B57" s="2" t="s">
        <v>20</v>
      </c>
      <c r="C57" s="2" t="s">
        <v>188</v>
      </c>
      <c r="D57" s="2" t="s">
        <v>12</v>
      </c>
      <c r="E57" s="2" t="s">
        <v>31</v>
      </c>
      <c r="F57" s="2" t="s">
        <v>189</v>
      </c>
      <c r="G57" s="2" t="s">
        <v>22</v>
      </c>
      <c r="H57" s="1">
        <v>42824.578587962962</v>
      </c>
      <c r="I57" s="2" t="s">
        <v>162</v>
      </c>
      <c r="J57" s="1"/>
      <c r="K57" s="2" t="s">
        <v>65</v>
      </c>
    </row>
    <row r="58" spans="1:11" ht="12.75" customHeight="1" x14ac:dyDescent="0.2">
      <c r="A58" s="2" t="s">
        <v>190</v>
      </c>
      <c r="B58" s="2" t="s">
        <v>11</v>
      </c>
      <c r="C58" s="2" t="s">
        <v>191</v>
      </c>
      <c r="D58" s="2" t="s">
        <v>12</v>
      </c>
      <c r="E58" s="2" t="s">
        <v>25</v>
      </c>
      <c r="F58" s="2" t="s">
        <v>192</v>
      </c>
      <c r="G58" s="2" t="s">
        <v>22</v>
      </c>
      <c r="H58" s="1">
        <v>42822.495150462964</v>
      </c>
      <c r="I58" s="2" t="s">
        <v>162</v>
      </c>
      <c r="J58" s="1"/>
      <c r="K58" s="2" t="s">
        <v>14</v>
      </c>
    </row>
    <row r="59" spans="1:11" ht="12.75" customHeight="1" x14ac:dyDescent="0.2">
      <c r="A59" s="2" t="s">
        <v>193</v>
      </c>
      <c r="B59" s="2" t="s">
        <v>11</v>
      </c>
      <c r="C59" s="2" t="s">
        <v>194</v>
      </c>
      <c r="D59" s="2" t="s">
        <v>12</v>
      </c>
      <c r="E59" s="2" t="s">
        <v>31</v>
      </c>
      <c r="F59" s="2" t="s">
        <v>195</v>
      </c>
      <c r="G59" s="2" t="s">
        <v>22</v>
      </c>
      <c r="H59" s="1">
        <v>42886.621458333335</v>
      </c>
      <c r="I59" s="2" t="s">
        <v>162</v>
      </c>
      <c r="J59" s="1"/>
      <c r="K59" s="2" t="s">
        <v>14</v>
      </c>
    </row>
    <row r="60" spans="1:11" ht="12.75" customHeight="1" x14ac:dyDescent="0.2">
      <c r="A60" s="2" t="s">
        <v>196</v>
      </c>
      <c r="B60" s="2" t="s">
        <v>20</v>
      </c>
      <c r="C60" s="2" t="s">
        <v>197</v>
      </c>
      <c r="D60" s="2" t="s">
        <v>12</v>
      </c>
      <c r="E60" s="2" t="s">
        <v>31</v>
      </c>
      <c r="F60" s="2" t="s">
        <v>198</v>
      </c>
      <c r="G60" s="2" t="s">
        <v>22</v>
      </c>
      <c r="H60" s="1">
        <v>42886.49417824074</v>
      </c>
      <c r="I60" s="2" t="s">
        <v>162</v>
      </c>
      <c r="J60" s="1"/>
      <c r="K60" s="2" t="s">
        <v>65</v>
      </c>
    </row>
    <row r="61" spans="1:11" ht="12.75" customHeight="1" x14ac:dyDescent="0.2">
      <c r="A61" s="2" t="s">
        <v>199</v>
      </c>
      <c r="B61" s="2" t="s">
        <v>20</v>
      </c>
      <c r="C61" s="2" t="s">
        <v>200</v>
      </c>
      <c r="D61" s="2" t="s">
        <v>12</v>
      </c>
      <c r="E61" s="2" t="s">
        <v>31</v>
      </c>
      <c r="F61" s="2" t="s">
        <v>201</v>
      </c>
      <c r="G61" s="2" t="s">
        <v>22</v>
      </c>
      <c r="H61" s="1">
        <v>42895.356527777774</v>
      </c>
      <c r="I61" s="2" t="s">
        <v>162</v>
      </c>
      <c r="J61" s="1"/>
      <c r="K61" s="2" t="s">
        <v>65</v>
      </c>
    </row>
    <row r="62" spans="1:11" ht="12.75" customHeight="1" x14ac:dyDescent="0.2">
      <c r="A62" s="2" t="s">
        <v>202</v>
      </c>
      <c r="B62" s="2" t="s">
        <v>11</v>
      </c>
      <c r="C62" s="2" t="s">
        <v>191</v>
      </c>
      <c r="D62" s="2" t="s">
        <v>12</v>
      </c>
      <c r="E62" s="2" t="s">
        <v>25</v>
      </c>
      <c r="F62" s="2" t="s">
        <v>203</v>
      </c>
      <c r="G62" s="2" t="s">
        <v>22</v>
      </c>
      <c r="H62" s="1">
        <v>42846.623518518521</v>
      </c>
      <c r="I62" s="2" t="s">
        <v>162</v>
      </c>
      <c r="J62" s="1"/>
      <c r="K62" s="2" t="s">
        <v>14</v>
      </c>
    </row>
    <row r="63" spans="1:11" ht="12.75" customHeight="1" x14ac:dyDescent="0.2">
      <c r="A63" s="2" t="s">
        <v>204</v>
      </c>
      <c r="B63" s="2" t="s">
        <v>11</v>
      </c>
      <c r="C63" s="2" t="s">
        <v>205</v>
      </c>
      <c r="D63" s="2" t="s">
        <v>12</v>
      </c>
      <c r="E63" s="2" t="s">
        <v>31</v>
      </c>
      <c r="F63" s="2" t="s">
        <v>206</v>
      </c>
      <c r="G63" s="2" t="s">
        <v>22</v>
      </c>
      <c r="H63" s="1">
        <v>42888.705891203703</v>
      </c>
      <c r="I63" s="2" t="s">
        <v>162</v>
      </c>
      <c r="J63" s="1"/>
      <c r="K63" s="2" t="s">
        <v>14</v>
      </c>
    </row>
    <row r="64" spans="1:11" ht="12.75" customHeight="1" x14ac:dyDescent="0.2">
      <c r="A64" s="2" t="s">
        <v>207</v>
      </c>
      <c r="B64" s="2" t="s">
        <v>11</v>
      </c>
      <c r="C64" s="2" t="s">
        <v>84</v>
      </c>
      <c r="D64" s="2" t="s">
        <v>12</v>
      </c>
      <c r="E64" s="2" t="s">
        <v>31</v>
      </c>
      <c r="F64" s="2" t="s">
        <v>208</v>
      </c>
      <c r="G64" s="2" t="s">
        <v>22</v>
      </c>
      <c r="H64" s="1">
        <v>42885.513136574074</v>
      </c>
      <c r="I64" s="2" t="s">
        <v>162</v>
      </c>
      <c r="J64" s="1"/>
      <c r="K64" s="2" t="s">
        <v>14</v>
      </c>
    </row>
    <row r="65" spans="1:11" ht="12.75" customHeight="1" x14ac:dyDescent="0.2">
      <c r="A65" s="2" t="s">
        <v>209</v>
      </c>
      <c r="B65" s="2" t="s">
        <v>20</v>
      </c>
      <c r="C65" s="2" t="s">
        <v>210</v>
      </c>
      <c r="D65" s="2" t="s">
        <v>12</v>
      </c>
      <c r="E65" s="2" t="s">
        <v>25</v>
      </c>
      <c r="F65" s="2" t="s">
        <v>211</v>
      </c>
      <c r="G65" s="2" t="s">
        <v>22</v>
      </c>
      <c r="H65" s="1">
        <v>42789.375335648147</v>
      </c>
      <c r="I65" s="2" t="s">
        <v>162</v>
      </c>
      <c r="J65" s="1"/>
      <c r="K65" s="2" t="s">
        <v>28</v>
      </c>
    </row>
    <row r="66" spans="1:11" ht="12.75" customHeight="1" x14ac:dyDescent="0.2">
      <c r="A66" s="2" t="s">
        <v>212</v>
      </c>
      <c r="B66" s="2" t="s">
        <v>11</v>
      </c>
      <c r="C66" s="2" t="s">
        <v>213</v>
      </c>
      <c r="D66" s="2" t="s">
        <v>12</v>
      </c>
      <c r="E66" s="2" t="s">
        <v>31</v>
      </c>
      <c r="F66" s="2" t="s">
        <v>214</v>
      </c>
      <c r="G66" s="2" t="s">
        <v>22</v>
      </c>
      <c r="H66" s="1">
        <v>42893.667129629626</v>
      </c>
      <c r="I66" s="2" t="s">
        <v>162</v>
      </c>
      <c r="J66" s="1"/>
      <c r="K66" s="2" t="s">
        <v>14</v>
      </c>
    </row>
    <row r="67" spans="1:11" ht="12.75" customHeight="1" x14ac:dyDescent="0.2">
      <c r="A67" s="2" t="s">
        <v>215</v>
      </c>
      <c r="B67" s="2" t="s">
        <v>11</v>
      </c>
      <c r="C67" s="2" t="s">
        <v>216</v>
      </c>
      <c r="D67" s="2" t="s">
        <v>12</v>
      </c>
      <c r="E67" s="2" t="s">
        <v>31</v>
      </c>
      <c r="F67" s="2" t="s">
        <v>217</v>
      </c>
      <c r="G67" s="2" t="s">
        <v>22</v>
      </c>
      <c r="H67" s="1">
        <v>42892.467465277776</v>
      </c>
      <c r="I67" s="2" t="s">
        <v>162</v>
      </c>
      <c r="J67" s="1"/>
      <c r="K67" s="2" t="s">
        <v>14</v>
      </c>
    </row>
    <row r="68" spans="1:11" ht="12.75" customHeight="1" x14ac:dyDescent="0.2">
      <c r="A68" s="2" t="s">
        <v>218</v>
      </c>
      <c r="B68" s="2" t="s">
        <v>20</v>
      </c>
      <c r="C68" s="2" t="s">
        <v>47</v>
      </c>
      <c r="D68" s="2" t="s">
        <v>21</v>
      </c>
      <c r="E68" s="2" t="s">
        <v>31</v>
      </c>
      <c r="F68" s="2" t="s">
        <v>219</v>
      </c>
      <c r="G68" s="2" t="s">
        <v>15</v>
      </c>
      <c r="H68" s="1">
        <v>42880.600312499999</v>
      </c>
      <c r="I68" s="2" t="s">
        <v>220</v>
      </c>
      <c r="J68" s="1"/>
      <c r="K68" s="2" t="s">
        <v>65</v>
      </c>
    </row>
    <row r="69" spans="1:11" ht="12.75" customHeight="1" x14ac:dyDescent="0.2">
      <c r="A69" s="2" t="s">
        <v>221</v>
      </c>
      <c r="B69" s="2" t="s">
        <v>11</v>
      </c>
      <c r="C69" s="2" t="s">
        <v>18</v>
      </c>
      <c r="D69" s="2" t="s">
        <v>12</v>
      </c>
      <c r="E69" s="2" t="s">
        <v>25</v>
      </c>
      <c r="F69" s="2" t="s">
        <v>222</v>
      </c>
      <c r="G69" s="2" t="s">
        <v>15</v>
      </c>
      <c r="H69" s="1">
        <v>42858.624259259261</v>
      </c>
      <c r="I69" s="2" t="s">
        <v>220</v>
      </c>
      <c r="J69" s="1"/>
      <c r="K69" s="2" t="s">
        <v>14</v>
      </c>
    </row>
    <row r="70" spans="1:11" ht="12.75" customHeight="1" x14ac:dyDescent="0.2">
      <c r="A70" s="2" t="s">
        <v>223</v>
      </c>
      <c r="B70" s="2" t="s">
        <v>11</v>
      </c>
      <c r="C70" s="2" t="s">
        <v>224</v>
      </c>
      <c r="D70" s="2" t="s">
        <v>12</v>
      </c>
      <c r="E70" s="2" t="s">
        <v>25</v>
      </c>
      <c r="F70" s="2" t="s">
        <v>225</v>
      </c>
      <c r="G70" s="2" t="s">
        <v>226</v>
      </c>
      <c r="H70" s="1">
        <v>42885.275509259256</v>
      </c>
      <c r="I70" s="2" t="s">
        <v>220</v>
      </c>
      <c r="J70" s="1"/>
      <c r="K70" s="2" t="s">
        <v>14</v>
      </c>
    </row>
    <row r="71" spans="1:11" ht="12.75" customHeight="1" x14ac:dyDescent="0.2">
      <c r="A71" s="2" t="s">
        <v>227</v>
      </c>
      <c r="B71" s="2" t="s">
        <v>20</v>
      </c>
      <c r="C71" s="2" t="s">
        <v>77</v>
      </c>
      <c r="D71" s="2" t="s">
        <v>12</v>
      </c>
      <c r="E71" s="2" t="s">
        <v>31</v>
      </c>
      <c r="F71" s="2" t="s">
        <v>228</v>
      </c>
      <c r="G71" s="2" t="s">
        <v>15</v>
      </c>
      <c r="H71" s="1">
        <v>42879.673506944448</v>
      </c>
      <c r="I71" s="2" t="s">
        <v>220</v>
      </c>
      <c r="J71" s="1"/>
      <c r="K71" s="2" t="s">
        <v>65</v>
      </c>
    </row>
    <row r="72" spans="1:11" ht="12.75" customHeight="1" x14ac:dyDescent="0.2">
      <c r="A72" s="2" t="s">
        <v>229</v>
      </c>
      <c r="B72" s="2" t="s">
        <v>11</v>
      </c>
      <c r="C72" s="2" t="s">
        <v>230</v>
      </c>
      <c r="D72" s="2" t="s">
        <v>12</v>
      </c>
      <c r="E72" s="2" t="s">
        <v>25</v>
      </c>
      <c r="F72" s="2" t="s">
        <v>231</v>
      </c>
      <c r="G72" s="2" t="s">
        <v>13</v>
      </c>
      <c r="H72" s="1">
        <v>42388.766828703701</v>
      </c>
      <c r="I72" s="2" t="s">
        <v>220</v>
      </c>
      <c r="J72" s="1"/>
      <c r="K72" s="2" t="s">
        <v>14</v>
      </c>
    </row>
    <row r="73" spans="1:11" ht="12.75" customHeight="1" x14ac:dyDescent="0.2">
      <c r="A73" s="2" t="s">
        <v>232</v>
      </c>
      <c r="B73" s="2" t="s">
        <v>11</v>
      </c>
      <c r="C73" s="2" t="s">
        <v>233</v>
      </c>
      <c r="D73" s="2" t="s">
        <v>12</v>
      </c>
      <c r="E73" s="2" t="s">
        <v>31</v>
      </c>
      <c r="F73" s="2" t="s">
        <v>234</v>
      </c>
      <c r="G73" s="2" t="s">
        <v>15</v>
      </c>
      <c r="H73" s="1">
        <v>42888.614351851851</v>
      </c>
      <c r="I73" s="2" t="s">
        <v>220</v>
      </c>
      <c r="J73" s="1"/>
      <c r="K73" s="2" t="s">
        <v>14</v>
      </c>
    </row>
    <row r="74" spans="1:11" ht="12.75" customHeight="1" x14ac:dyDescent="0.2">
      <c r="A74" s="2" t="s">
        <v>235</v>
      </c>
      <c r="B74" s="2" t="s">
        <v>11</v>
      </c>
      <c r="C74" s="2" t="s">
        <v>236</v>
      </c>
      <c r="D74" s="2" t="s">
        <v>12</v>
      </c>
      <c r="E74" s="2" t="s">
        <v>25</v>
      </c>
      <c r="F74" s="2" t="s">
        <v>237</v>
      </c>
      <c r="G74" s="2" t="s">
        <v>15</v>
      </c>
      <c r="H74" s="1">
        <v>42877.743136574078</v>
      </c>
      <c r="I74" s="2" t="s">
        <v>220</v>
      </c>
      <c r="J74" s="1"/>
      <c r="K74" s="2" t="s">
        <v>14</v>
      </c>
    </row>
  </sheetData>
  <autoFilter ref="A1:K74"/>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Page 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Bandla, Siva</dc:creator>
  <cp:lastModifiedBy>Gokani, Chirag A</cp:lastModifiedBy>
  <dcterms:created xsi:type="dcterms:W3CDTF">2017-06-13T01:15:33Z</dcterms:created>
  <dcterms:modified xsi:type="dcterms:W3CDTF">2017-06-13T06:37:20Z</dcterms:modified>
</cp:coreProperties>
</file>